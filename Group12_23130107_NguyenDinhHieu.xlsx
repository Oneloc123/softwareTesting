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over" sheetId="1" state="visible" r:id="rId3"/>
    <sheet name="Test Case List" sheetId="2" state="visible" r:id="rId4"/>
    <sheet name="TestDesign" sheetId="3" state="visible" r:id="rId5"/>
    <sheet name="Projects" sheetId="4" state="visible" r:id="rId6"/>
    <sheet name="Test Repor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<sst xmlns="http://schemas.openxmlformats.org/spreadsheetml/2006/main" count="443" uniqueCount="337">
  <si>
    <t xml:space="preserve">TEST DESIGN &amp; DETAILED TEST CASE SPECIFICATION</t>
  </si>
  <si>
    <t xml:space="preserve">Project Name</t>
  </si>
  <si>
    <t xml:space="preserve">Horilla HRMS</t>
  </si>
  <si>
    <t xml:space="preserve">Project Code</t>
  </si>
  <si>
    <t xml:space="preserve">HORILLA-PRJ</t>
  </si>
  <si>
    <t xml:space="preserve">Document Code</t>
  </si>
  <si>
    <t xml:space="preserve">Author</t>
  </si>
  <si>
    <t xml:space="preserve">Nguyễn Đình Hiếu</t>
  </si>
  <si>
    <t xml:space="preserve">Reviewer / Approver</t>
  </si>
  <si>
    <t xml:space="preserve">Trần Thị Thanh Nga</t>
  </si>
  <si>
    <t xml:space="preserve">Issue Date</t>
  </si>
  <si>
    <t xml:space="preserve">Version</t>
  </si>
  <si>
    <t xml:space="preserve">1.0</t>
  </si>
  <si>
    <t xml:space="preserve">ASSIGNED MODULES &amp; SCOPE OF TESTING</t>
  </si>
  <si>
    <t xml:space="preserve">No</t>
  </si>
  <si>
    <t xml:space="preserve">Assigned Tester</t>
  </si>
  <si>
    <t xml:space="preserve">Module Name</t>
  </si>
  <si>
    <t xml:space="preserve">Detailed Scope &amp; Functionalities</t>
  </si>
  <si>
    <t xml:space="preserve">Project &gt; Projects (Quản lý danh sách dự án)</t>
  </si>
  <si>
    <t xml:space="preserve">Hiển thị danh sách dự án (List/Card view), tìm kiếm, bộ lọc Filter Projects, sắp xếp, chọn bản ghi/Actions, tạo - sửa - xóa - lưu trữ dự án, xem dashboard dự án, phân quyền và responsive.</t>
  </si>
  <si>
    <t xml:space="preserve">TEST DATA BASELINE (dữ liệu nền của màn hình Projects)</t>
  </si>
  <si>
    <t xml:space="preserve">Name</t>
  </si>
  <si>
    <t xml:space="preserve">Project Managers</t>
  </si>
  <si>
    <t xml:space="preserve">Status | Start Date | End Date</t>
  </si>
  <si>
    <t xml:space="preserve">Data Warehouse</t>
  </si>
  <si>
    <t xml:space="preserve">Maria Gonzalez</t>
  </si>
  <si>
    <t xml:space="preserve">On Hold | 2026-08-10 | 2026-12-08</t>
  </si>
  <si>
    <t xml:space="preserve">Q4 Marketing Campaign</t>
  </si>
  <si>
    <t xml:space="preserve">Isabella Rossi</t>
  </si>
  <si>
    <t xml:space="preserve">New | 2026-10-29 | 2027-01-22</t>
  </si>
  <si>
    <t xml:space="preserve">HR Portal Migration</t>
  </si>
  <si>
    <t xml:space="preserve">Hannah Kim</t>
  </si>
  <si>
    <t xml:space="preserve">Completed | 2026-06-26 | 2026-10-04</t>
  </si>
  <si>
    <t xml:space="preserve">Mobile App</t>
  </si>
  <si>
    <t xml:space="preserve">Sofia Hernandez</t>
  </si>
  <si>
    <t xml:space="preserve">In Progress | 2026-09-14 | 2026-10-19</t>
  </si>
  <si>
    <t xml:space="preserve">Website Revamp</t>
  </si>
  <si>
    <t xml:space="preserve">Emily Carter</t>
  </si>
  <si>
    <t xml:space="preserve">In Progress | 2026-08-25 | 2026-11-23</t>
  </si>
  <si>
    <t xml:space="preserve">Môi trường: ứng dụng Horilla (bản demo/staging của nhóm), tài khoản Adam Admin; trình duyệt Chrome mới nhất.</t>
  </si>
  <si>
    <t xml:space="preserve">SUMMARY LIST OF TEST CASES</t>
  </si>
  <si>
    <t xml:space="preserve">Sheet Name / Reference</t>
  </si>
  <si>
    <t xml:space="preserve">Description</t>
  </si>
  <si>
    <t xml:space="preserve">Total TestCases</t>
  </si>
  <si>
    <t xml:space="preserve">Status</t>
  </si>
  <si>
    <t xml:space="preserve">Projects</t>
  </si>
  <si>
    <t xml:space="preserve">Bao gồm các kịch bản kiểm thử hiển thị danh sách (List/Card), tìm kiếm, bộ lọc, sắp xếp, chọn bản ghi, tạo - sửa - xóa - lưu trữ dự án, xem dashboard, phân quyền và responsive.</t>
  </si>
  <si>
    <t xml:space="preserve">Total</t>
  </si>
  <si>
    <t xml:space="preserve">Requirement Level 1</t>
  </si>
  <si>
    <t xml:space="preserve">Requirement Level 2</t>
  </si>
  <si>
    <t xml:space="preserve">Requirement Level 3</t>
  </si>
  <si>
    <t xml:space="preserve">Test Criteria / Conditions</t>
  </si>
  <si>
    <t xml:space="preserve">Test Type</t>
  </si>
  <si>
    <t xml:space="preserve">Coverage Priority</t>
  </si>
  <si>
    <t xml:space="preserve">Note</t>
  </si>
  <si>
    <t xml:space="preserve">1.0 Project - Projects (Danh sách dự án)</t>
  </si>
  <si>
    <t xml:space="preserve">1.1 Hiển thị &amp; Bố cục trang (Page Layout)</t>
  </si>
  <si>
    <t xml:space="preserve">1.1.1 Breadcrumb &amp; Tiêu đề trang</t>
  </si>
  <si>
    <t xml:space="preserve">Kiểm tra Breadcrumb "Horilla &gt; Project &gt; Projects", tiêu đề "Projects" và điều hướng khi nhấp từng cấp</t>
  </si>
  <si>
    <t xml:space="preserve">UI / Function</t>
  </si>
  <si>
    <t xml:space="preserve">Medium</t>
  </si>
  <si>
    <t xml:space="preserve">Breadcrumb giúp quay lại cấp cha</t>
  </si>
  <si>
    <t xml:space="preserve">1.1.2 Hiển thị bảng List view</t>
  </si>
  <si>
    <t xml:space="preserve">Kiểm tra đủ cột (Name, Project Managers, Status, Start Date, End Date, Project File, Description, Actions), dữ liệu từng dòng khớp dữ liệu nền, văn bản dài bị cắt "..."</t>
  </si>
  <si>
    <t xml:space="preserve">High</t>
  </si>
  <si>
    <t xml:space="preserve">Dữ liệu nền 5 dự án (xem sheet Cover)</t>
  </si>
  <si>
    <t xml:space="preserve">1.1.3 Chuyển đổi List ↔ Card view</t>
  </si>
  <si>
    <t xml:space="preserve">Kiểm tra chuyển đổi hai chế độ xem và dữ liệu nhất quán giữa List và Card</t>
  </si>
  <si>
    <t xml:space="preserve">Function / UX</t>
  </si>
  <si>
    <t xml:space="preserve">Định dạng ngày khác nhau giữa 2 view (2026-08-10 / Aug. 10, 2026)</t>
  </si>
  <si>
    <t xml:space="preserve">1.1.4 Hiển thị Card view</t>
  </si>
  <si>
    <t xml:space="preserve">Kiểm tra thẻ dự án: avatar viết tắt, badge số, tên, Status, Start/End date, menu ⋮, viền màu theo trạng thái</t>
  </si>
  <si>
    <t xml:space="preserve">UI</t>
  </si>
  <si>
    <t xml:space="preserve">Badge số cần xác minh ý nghĩa</t>
  </si>
  <si>
    <t xml:space="preserve">1.1.5 Màu &amp; nhãn trạng thái (Status Legend)</t>
  </si>
  <si>
    <t xml:space="preserve">Kiểm tra 6 trạng thái (New, In progress, Completed, On Hold, Cancelled, Expired) và màu viền dòng/thẻ khớp chip trạng thái</t>
  </si>
  <si>
    <t xml:space="preserve">Low</t>
  </si>
  <si>
    <t xml:space="preserve">Đối chiếu trạng thái với ngày kết thúc</t>
  </si>
  <si>
    <t xml:space="preserve">1.2 Tìm kiếm (Search)</t>
  </si>
  <si>
    <t xml:space="preserve">1.2.1 Tìm kiếm theo tên dự án</t>
  </si>
  <si>
    <t xml:space="preserve">Kiểm tra tìm theo từ khóa một phần, không phân biệt hoa/thường; xóa từ khóa phục hồi đủ danh sách</t>
  </si>
  <si>
    <t xml:space="preserve">Function</t>
  </si>
  <si>
    <t xml:space="preserve">Ô Search trên thanh công cụ</t>
  </si>
  <si>
    <t xml:space="preserve">1.2.2 Tìm kiếm không có kết quả &amp; ký tự đặc biệt</t>
  </si>
  <si>
    <t xml:space="preserve">Kiểm tra từ khóa không tồn tại, ký tự đặc biệt, chuỗi HTML được xử lý an toàn, hiển thị trạng thái rỗng</t>
  </si>
  <si>
    <t xml:space="preserve">Negative / Security</t>
  </si>
  <si>
    <t xml:space="preserve">Chống hiển thị/thực thi HTML từ input</t>
  </si>
  <si>
    <t xml:space="preserve">1.3 Bộ lọc (Filter Projects)</t>
  </si>
  <si>
    <t xml:space="preserve">1.3.1 Mở/Đóng panel Filter</t>
  </si>
  <si>
    <t xml:space="preserve">Kiểm tra panel Filter Projects mở từ bên phải, ô "Find a filter", nút đóng (X), các nút Clear all / Apply</t>
  </si>
  <si>
    <t xml:space="preserve">Panel dạng drawer, nền phía sau bị mờ</t>
  </si>
  <si>
    <t xml:space="preserve">1.3.2 Lọc theo Name hoặc Badge ID</t>
  </si>
  <si>
    <t xml:space="preserve">Kiểm tra lọc theo tên dự án (khớp một phần) và trường hợp không có kết quả</t>
  </si>
  <si>
    <t xml:space="preserve">Placeholder "e.g. John, PEP01, PEP02" là ví dụ của nhân viên, cần xác minh</t>
  </si>
  <si>
    <t xml:space="preserve">1.3.3 Lọc theo Project Managers</t>
  </si>
  <si>
    <t xml:space="preserve">Kiểm tra gợi ý nhân viên khi gõ, lọc theo một và nhiều quản lý dự án</t>
  </si>
  <si>
    <t xml:space="preserve">Giả định chọn nhiều theo logic OR</t>
  </si>
  <si>
    <t xml:space="preserve">1.3.4 Lọc theo Status</t>
  </si>
  <si>
    <t xml:space="preserve">Kiểm tra lọc theo từng trạng thái, kể cả trạng thái không có dữ liệu</t>
  </si>
  <si>
    <t xml:space="preserve">Danh sách trạng thái trong dropdown</t>
  </si>
  <si>
    <t xml:space="preserve">1.3.5 Lọc theo khoảng ngày (Start from / End till)</t>
  </si>
  <si>
    <t xml:space="preserve">Kiểm tra lọc chỉ Start from, chỉ End till và cả hai; kết quả đúng theo dữ liệu nền</t>
  </si>
  <si>
    <t xml:space="preserve">Function / Boundary</t>
  </si>
  <si>
    <t xml:space="preserve">Start from: ngày bắt đầu &gt;= giá trị; End till: ngày kết thúc &lt;= giá trị</t>
  </si>
  <si>
    <t xml:space="preserve">1.3.6 Kết hợp nhiều tiêu chí lọc</t>
  </si>
  <si>
    <t xml:space="preserve">Kiểm tra kết hợp Status + Project Managers + End till, kết quả thỏa đồng thời mọi điều kiện</t>
  </si>
  <si>
    <t xml:space="preserve">Logic AND giữa các trường</t>
  </si>
  <si>
    <t xml:space="preserve">1.3.7 Khoảng ngày không hợp lệ</t>
  </si>
  <si>
    <t xml:space="preserve">Kiểm tra Start from lớn hơn End till: không gây lỗi hệ thống, hiển thị cảnh báo hoặc kết quả rỗng</t>
  </si>
  <si>
    <t xml:space="preserve">Negative / Boundary</t>
  </si>
  <si>
    <t xml:space="preserve">Không phát sinh lỗi 500</t>
  </si>
  <si>
    <t xml:space="preserve">1.3.8 Clear all &amp; Apply</t>
  </si>
  <si>
    <t xml:space="preserve">Kiểm tra Clear all đưa mọi trường về mặc định, Apply sau Clear all trả về đủ danh sách, panel giữ giá trị đã áp dụng</t>
  </si>
  <si>
    <t xml:space="preserve">Giá trị mặc định: Status "---------", Active "Unknown"</t>
  </si>
  <si>
    <t xml:space="preserve">1.4 Sắp xếp &amp; Chọn bản ghi (Sort &amp; Selection)</t>
  </si>
  <si>
    <t xml:space="preserve">1.4.1 Sắp xếp theo Name / Start Date / End Date</t>
  </si>
  <si>
    <t xml:space="preserve">Kiểm tra sắp xếp tăng/giảm dần theo 3 cột có icon sắp xếp; ngày sắp xếp theo giá trị ngày</t>
  </si>
  <si>
    <t xml:space="preserve">Dữ liệu các dòng không bị lệch cột sau khi sắp xếp</t>
  </si>
  <si>
    <t xml:space="preserve">1.4.2 Chọn bản ghi &amp; Select All</t>
  </si>
  <si>
    <t xml:space="preserve">Kiểm tra checkbox từng dòng, checkbox tiêu đề, nút "Select (n)" hiển thị đúng tổng số bản ghi</t>
  </si>
  <si>
    <t xml:space="preserve">Số n cập nhật theo bộ lọc hiện tại</t>
  </si>
  <si>
    <t xml:space="preserve">1.4.3 Dropdown Actions (thao tác hàng loạt)</t>
  </si>
  <si>
    <t xml:space="preserve">Kiểm tra dropdown Actions khi chưa chọn và khi đã chọn bản ghi</t>
  </si>
  <si>
    <t xml:space="preserve">Cần xác nhận danh sách thao tác thực tế trên hệ thống</t>
  </si>
  <si>
    <t xml:space="preserve">1.5 Thao tác dự án (CRUD &amp; Actions)</t>
  </si>
  <si>
    <t xml:space="preserve">1.5.1 Tạo dự án hợp lệ</t>
  </si>
  <si>
    <t xml:space="preserve">Kiểm tra nút Create mở form và tạo dự án với dữ liệu hợp lệ; dự án xuất hiện ở List và Card</t>
  </si>
  <si>
    <t xml:space="preserve">Critical</t>
  </si>
  <si>
    <t xml:space="preserve">Dữ liệu tạo cần dọn sau khi kiểm thử</t>
  </si>
  <si>
    <t xml:space="preserve">1.5.2 Bắt buộc nhập trường required</t>
  </si>
  <si>
    <t xml:space="preserve">Kiểm tra không cho tạo dự án khi bỏ trống trường bắt buộc hoặc tên chỉ gồm khoảng trắng</t>
  </si>
  <si>
    <t xml:space="preserve">Negative</t>
  </si>
  <si>
    <t xml:space="preserve">Danh sách trường bắt buộc theo SRS</t>
  </si>
  <si>
    <t xml:space="preserve">1.5.3 Validation ngày bắt đầu / kết thúc</t>
  </si>
  <si>
    <t xml:space="preserve">Kiểm tra End date trước Start date bị từ chối kèm thông báo lỗi</t>
  </si>
  <si>
    <t xml:space="preserve">Bổ sung biên Start = End khi có SRS</t>
  </si>
  <si>
    <t xml:space="preserve">1.5.4 Đính kèm Project File</t>
  </si>
  <si>
    <t xml:space="preserve">Kiểm tra tải tệp hợp lệ, hiển thị ở cột Project File; từ chối tệp sai định dạng hoặc quá dung lượng</t>
  </si>
  <si>
    <t xml:space="preserve">File Upload / Security</t>
  </si>
  <si>
    <t xml:space="preserve">Giới hạn định dạng/dung lượng theo SRS</t>
  </si>
  <si>
    <t xml:space="preserve">1.5.5 Chỉnh sửa dự án</t>
  </si>
  <si>
    <t xml:space="preserve">Kiểm tra icon Edit: dữ liệu điền sẵn, lưu thay đổi, hủy không lưu</t>
  </si>
  <si>
    <t xml:space="preserve">Cập nhật đồng bộ cả List và Card</t>
  </si>
  <si>
    <t xml:space="preserve">1.5.6 Xóa dự án (có xác nhận)</t>
  </si>
  <si>
    <t xml:space="preserve">Kiểm tra icon Delete: hộp thoại xác nhận, hủy không xóa, xác nhận thì xóa</t>
  </si>
  <si>
    <t xml:space="preserve">Không xóa dữ liệu nền</t>
  </si>
  <si>
    <t xml:space="preserve">1.5.7 Lưu trữ dự án (Archive)</t>
  </si>
  <si>
    <t xml:space="preserve">Kiểm tra icon Archive: dự án rời khỏi danh sách chính và còn truy cập được ở nơi xem dự án lưu trữ</t>
  </si>
  <si>
    <t xml:space="preserve">Quan hệ với bộ lọc Active</t>
  </si>
  <si>
    <t xml:space="preserve">1.5.8 Xem Dashboard dự án</t>
  </si>
  <si>
    <t xml:space="preserve">Kiểm tra icon biểu đồ ở cột Actions điều hướng đúng dự án</t>
  </si>
  <si>
    <t xml:space="preserve">Dữ liệu không lẫn giữa các dự án</t>
  </si>
  <si>
    <t xml:space="preserve">1.6 Phân quyền &amp; Tương thích (Security &amp; Compatibility)</t>
  </si>
  <si>
    <t xml:space="preserve">1.6.1 Phân quyền theo vai trò</t>
  </si>
  <si>
    <t xml:space="preserve">Kiểm tra tài khoản không đủ quyền không thao tác được (Create/Edit/Delete/Archive) và bị chặn khi truy cập trực tiếp bằng URL</t>
  </si>
  <si>
    <t xml:space="preserve">Security / Permission</t>
  </si>
  <si>
    <t xml:space="preserve">Cần thêm tài khoản test vai trò khác</t>
  </si>
  <si>
    <t xml:space="preserve">1.6.2 Responsive Tablet / Mobile</t>
  </si>
  <si>
    <t xml:space="preserve">Kiểm tra giao diện trên iPad Air và iPhone 14: không tràn khung, thao tác được</t>
  </si>
  <si>
    <t xml:space="preserve">UI / Compatibility</t>
  </si>
  <si>
    <t xml:space="preserve">Chrome DevTools Device Mode</t>
  </si>
  <si>
    <t xml:space="preserve">Module Code</t>
  </si>
  <si>
    <t xml:space="preserve">Project_Projects</t>
  </si>
  <si>
    <t xml:space="preserve">Test requirement</t>
  </si>
  <si>
    <t xml:space="preserve">Tester</t>
  </si>
  <si>
    <t xml:space="preserve">Passed</t>
  </si>
  <si>
    <t xml:space="preserve">Failed</t>
  </si>
  <si>
    <t xml:space="preserve">Untested</t>
  </si>
  <si>
    <t xml:space="preserve">Blocked</t>
  </si>
  <si>
    <t xml:space="preserve">Skipped</t>
  </si>
  <si>
    <t xml:space="preserve">Number of Test cases</t>
  </si>
  <si>
    <t xml:space="preserve">ID</t>
  </si>
  <si>
    <t xml:space="preserve">Test Case Description</t>
  </si>
  <si>
    <t xml:space="preserve">Test Case Procedure (Steps &amp; Inputs)</t>
  </si>
  <si>
    <t xml:space="preserve">Expected Output</t>
  </si>
  <si>
    <t xml:space="preserve">Pre-Condition / Inter-dependence</t>
  </si>
  <si>
    <t xml:space="preserve">Result</t>
  </si>
  <si>
    <t xml:space="preserve">Test Date</t>
  </si>
  <si>
    <t xml:space="preserve">Note / Defect ID</t>
  </si>
  <si>
    <t xml:space="preserve">TC_Projects_01</t>
  </si>
  <si>
    <t xml:space="preserve">Kiểm tra Breadcrumb và tiêu đề trang Projects</t>
  </si>
  <si>
    <t xml:space="preserve">1. Đăng nhập Adam Admin, vào menu Project &gt; Projects.
2. Quan sát thanh Breadcrumb và tiêu đề trang.
3. Nhấp vào "Project" trên Breadcrumb.
4. Quay lại trang Projects, nhấp vào "Horilla".</t>
  </si>
  <si>
    <t xml:space="preserve">1. Breadcrumb hiển thị đúng "Horilla &gt; Project &gt; Projects"; tiêu đề trang là "Projects".
2. Nhấp từng cấp điều hướng đúng trang cấp cha tương ứng, không lỗi 404/500.</t>
  </si>
  <si>
    <t xml:space="preserve">Đã đăng nhập; menu Project khả dụng.</t>
  </si>
  <si>
    <t xml:space="preserve">[1.1.1]</t>
  </si>
  <si>
    <t xml:space="preserve">TC_Projects_02</t>
  </si>
  <si>
    <t xml:space="preserve">Kiểm tra hiển thị bảng danh sách (List view) và dữ liệu từng dòng</t>
  </si>
  <si>
    <t xml:space="preserve">1. Mở Project &gt; Projects (chế độ List mặc định).
2. Quan sát tiêu đề các cột.
3. Đối chiếu từng dòng với dữ liệu nền.
4. Quan sát dòng "Q4 Marketing Campaign" (tên/mô tả dài).</t>
  </si>
  <si>
    <t xml:space="preserve">1. Bảng có đủ cột: Name, Project Managers, Status, Start Date, End Date, Project File, Description, Actions (kèm checkbox chọn dòng).</t>
  </si>
  <si>
    <t xml:space="preserve">Dữ liệu nền: 5 dự án mẫu (xem sheet Cover), đăng nhập tài khoản Adam Admin.</t>
  </si>
  <si>
    <t xml:space="preserve">[1.1.2]</t>
  </si>
  <si>
    <t xml:space="preserve">TC_Projects_03</t>
  </si>
  <si>
    <t xml:space="preserve">Kiểm tra chuyển đổi List view ↔ Card view và tính nhất quán dữ liệu</t>
  </si>
  <si>
    <t xml:space="preserve">1. Ở List view, nhấp nút Card view (icon dạng lưới).
2. Đối chiếu dữ liệu từng thẻ với bảng List.
3. Nhấp nút List view (icon dạng danh sách).</t>
  </si>
  <si>
    <t xml:space="preserve">1. Giao diện chuyển sang dạng thẻ, hiển thị 5 thẻ; tên, Status, Start/End date khớp với List (cùng giá trị, khác định dạng ngày: ví dụ 2026-08-10 và Aug. 10, 2026).
2. Chuyển lại List hiển thị đúng 5 dòng, không mất dữ liệu, không lỗi.</t>
  </si>
  <si>
    <t xml:space="preserve">[1.1.3]</t>
  </si>
  <si>
    <t xml:space="preserve">TC_Projects_04</t>
  </si>
  <si>
    <t xml:space="preserve">Kiểm tra hiển thị thẻ dự án (Card view)</t>
  </si>
  <si>
    <t xml:space="preserve">1. Chuyển sang Card view.
2. Quan sát thẻ "Data Warehouse" và các thẻ còn lại.
3. Nhấp icon ⋮ ở góc phải thẻ.</t>
  </si>
  <si>
    <t xml:space="preserve">1. Mỗi thẻ gồm: avatar chữ viết tắt (DW, QC, HM, WR...), badge số, tên dự án, Status, Start date, End date.
2. Viền trái của thẻ có màu theo trạng thái (ví dụ On Hold màu cam).
3. Menu ⋮ mở ra danh sách thao tác của dự án, không bị cắt hoặc che khuất.
4. Các thẻ xếp lưới đều, không chồng lấn.</t>
  </si>
  <si>
    <t xml:space="preserve">[1.1.4] Quan sát: badge số hiển thị cùng giá trị (6) ở cả 4 thẻ nhìn thấy, cần xác minh ý nghĩa và tính đúng đắn của badge.</t>
  </si>
  <si>
    <t xml:space="preserve">TC_Projects_05</t>
  </si>
  <si>
    <t xml:space="preserve">Kiểm tra màu và nhãn trạng thái (Status Legend)</t>
  </si>
  <si>
    <t xml:space="preserve">1. Quan sát dãy chip trạng thái phía trên bảng.
2. So sánh màu chip với màu viền trái của từng dòng: Data Warehouse (On Hold), Q4 Marketing Campaign (New), HR Portal Migration (Completed), Mobile App và Website Revamp (In Progress).
3. Nhấp chip "In progress".</t>
  </si>
  <si>
    <t xml:space="preserve">1. Có đủ 6 chip: New, In progress, Completed, On Hold, Cancelled, Expired, mỗi chip có chấm màu riêng.
2. Màu viền dòng khớp màu chip của trạng thái tương ứng.
3. Nhấp chip không gây lỗi; nếu chip là bộ lọc nhanh thì danh sách chỉ còn 2 dự án In Progress (Mobile App, Website Revamp).</t>
  </si>
  <si>
    <t xml:space="preserve">[1.1.5] Quan sát: Mobile App còn "In Progress" dù End Date 2026-10-19 đã qua (ngày xem 2026-10-24), cần xác minh quy tắc chuyển sang "Expired".</t>
  </si>
  <si>
    <t xml:space="preserve">TC_Projects_06</t>
  </si>
  <si>
    <t xml:space="preserve">Kiểm tra tìm kiếm dự án theo tên</t>
  </si>
  <si>
    <t xml:space="preserve">1. Nhập "mobile" (chữ thường) vào ô Search.
2. Quan sát kết quả.
3. Xóa từ khóa.
4. Nhập "Web".</t>
  </si>
  <si>
    <t xml:space="preserve">1. Chỉ còn 1 dòng "Mobile App" (không phân biệt hoa/thường).
2. Xóa từ khóa: danh sách trở lại đủ 5 dự án.
3. Từ khóa "Web": chỉ còn "Website Revamp" (khớp một phần).</t>
  </si>
  <si>
    <t xml:space="preserve">[1.2.1]</t>
  </si>
  <si>
    <t xml:space="preserve">TC_Projects_07</t>
  </si>
  <si>
    <t xml:space="preserve">Kiểm tra tìm kiếm không có kết quả và ký tự đặc biệt</t>
  </si>
  <si>
    <t xml:space="preserve">1. Nhập "xyz123abc" vào ô Search.
2. Xóa rồi nhập "!@#$%^&amp;*()".
3. Xóa rồi nhập "&lt;b&gt;test&lt;/b&gt;".
4. Xóa từ khóa.</t>
  </si>
  <si>
    <t xml:space="preserve">1. Hiển thị trạng thái rỗng (không có bản ghi), không lỗi.
2. Ký tự đặc biệt được xử lý an toàn, không lỗi 500.
3. Chuỗi HTML được coi là văn bản thường, không bị render in đậm hay thực thi.
4. Xóa từ khóa phục hồi đủ dự án.</t>
  </si>
  <si>
    <t xml:space="preserve">Dữ liệu nền: dự án mẫu (xem sheet Cover), đăng nhập tài khoản Adam Admin.</t>
  </si>
  <si>
    <t xml:space="preserve">[1.2.2]</t>
  </si>
  <si>
    <t xml:space="preserve">TC_Projects_08</t>
  </si>
  <si>
    <t xml:space="preserve">Kiểm tra mở/đóng panel Filter Projects</t>
  </si>
  <si>
    <t xml:space="preserve">1. Nhấp nút "Filter" trên thanh công cụ.
2. Quan sát panel "Filter Projects".
3. Gõ "Status" vào ô "Find a filter".
4. Nhấp nút X để đóng panel, sau đó mở lại.</t>
  </si>
  <si>
    <t xml:space="preserve">1. Panel mở từ bên phải, nền phía sau bị làm mờ.
2. Panel có: Project (Name or Badge ID, Project Managers, Status, Active), Advanced (Start from, End till), Group By; nút "Clear all" và "Apply".
3. "Find a filter" thu hẹp danh sách trường lọc theo từ khóa "Status".
4. Đóng panel không làm thay đổi danh sách; mở lại hiển thị giao diện bình thường.</t>
  </si>
  <si>
    <t xml:space="preserve">[1.3.1]</t>
  </si>
  <si>
    <t xml:space="preserve">TC_Projects_09</t>
  </si>
  <si>
    <t xml:space="preserve">Kiểm tra lọc theo Name hoặc Badge ID</t>
  </si>
  <si>
    <t xml:space="preserve">1. Mở Filter, nhập "Website" vào ô "Name or Badge ID".
2. Nhấp "Apply".
3. Mở lại Filter, nhập "zzz" -&gt; "Apply".</t>
  </si>
  <si>
    <t xml:space="preserve">1. Danh sách chỉ còn "Website Revamp"; panel đóng sau khi Apply.
2. Với "zzz": danh sách rỗng (hiển thị trạng thái không có dữ liệu), không lỗi.</t>
  </si>
  <si>
    <t xml:space="preserve">[1.3.2] Quan sát: placeholder "e.g. John, PEP01, PEP02" là ví dụ của nhân viên, không phù hợp ngữ cảnh dự án, ghi nhận lỗi nội dung nếu được xác nhận. Cần đối chiếu Badge ID của dự án.</t>
  </si>
  <si>
    <t xml:space="preserve">TC_Projects_10</t>
  </si>
  <si>
    <t xml:space="preserve">Kiểm tra lọc theo Project Managers</t>
  </si>
  <si>
    <t xml:space="preserve">1. Mở Filter, gõ "Emily" vào ô "Search employee..." của Project Managers.
2. Chọn "Emily Carter" -&gt; "Apply".
3. Mở lại Filter, chọn thêm "Sofia Hernandez" -&gt; "Apply".</t>
  </si>
  <si>
    <t xml:space="preserve">1. Khi gõ, danh sách gợi ý nhân viên xuất hiện.
2. Với "Emily Carter": chỉ còn "Website Revamp".
3. Với "Emily Carter" và "Sofia Hernandez": còn 2 dự án "Website Revamp" và "Mobile App".</t>
  </si>
  <si>
    <t xml:space="preserve">[1.3.3] Giả định chọn nhiều quản lý theo logic OR, đối chiếu SRS.</t>
  </si>
  <si>
    <t xml:space="preserve">TC_Projects_11</t>
  </si>
  <si>
    <t xml:space="preserve">Kiểm tra lọc theo Status</t>
  </si>
  <si>
    <t xml:space="preserve">1. Mở Filter, chọn Status = "In Progress" -&gt; "Apply".
2. Lặp lại với Status = "Completed".
3. Lặp lại với Status = "Cancelled", “New”, “Hold On”, “Expired”.</t>
  </si>
  <si>
    <t xml:space="preserve">1. "In Progress": còn 2 dự án (Mobile App, Website Revamp).
2. "Completed": còn 1 dự án (HR Portal Migration).
3. "Cancelled": không có dự án, hiển thị trạng thái rỗng, không lỗi.</t>
  </si>
  <si>
    <t xml:space="preserve">[1.3.4]</t>
  </si>
  <si>
    <t xml:space="preserve">TC_Projects_12</t>
  </si>
  <si>
    <t xml:space="preserve">Kiểm tra lọc theo khoảng ngày (Start from / End till)</t>
  </si>
  <si>
    <t xml:space="preserve">1. Mở Filter, chọn Start from = 09/01/2026 (mm/dd/yyyy), để trống End till -&gt; "Apply".
2. "Clear all", chỉ nhập End till = 11/30/2026 -&gt; "Apply".
3. "Clear all", nhập Start from = 08/01/2026 và End till = 10/31/2026 -&gt; "Apply".</t>
  </si>
  <si>
    <t xml:space="preserve">1. Start from 2026-09-01: còn 2 dự án (Q4 Marketing Campaign, Mobile App).
2. End till 2026-11-30: còn 3 dự án (HR Portal Migration, Mobile App, Website Revamp).
3. Cả hai điều kiện: còn 1 dự án (Mobile App).</t>
  </si>
  <si>
    <t xml:space="preserve">[1.3.5] Giả định Start from lọc theo ngày bắt đầu &gt;= giá trị, End till lọc theo ngày kết thúc &lt;= giá trị.</t>
  </si>
  <si>
    <t xml:space="preserve">TC_Projects_13</t>
  </si>
  <si>
    <t xml:space="preserve">Kiểm tra kết hợp nhiều tiêu chí lọc</t>
  </si>
  <si>
    <t xml:space="preserve">1. Mở Filter: Status = "In Progress", Project Managers = "Emily Carter", End till = 11/30/2026 -&gt; "Apply".
2. Mở lại Filter, đổi Project Managers = "Maria Gonzalez", giữ nguyên các tiêu chí còn lại -&gt; "Apply".</t>
  </si>
  <si>
    <t xml:space="preserve">1. Chỉ còn "Website Revamp" (thỏa đồng thời cả 3 điều kiện).
2. Không có dự án thỏa mãn (Data Warehouse của Maria Gonzalez có trạng thái On Hold): hiển thị trạng thái rỗng.</t>
  </si>
  <si>
    <t xml:space="preserve">[1.3.6]</t>
  </si>
  <si>
    <t xml:space="preserve">TC_Projects_14</t>
  </si>
  <si>
    <t xml:space="preserve">Kiểm tra khoảng ngày không hợp lệ (Start from &gt; End till)</t>
  </si>
  <si>
    <t xml:space="preserve">1. Mở Filter &gt; Advanced.
2. Nhập Start from = 12/01/2026, End till = 01/01/2026.
3. Nhấp "Apply".</t>
  </si>
  <si>
    <t xml:space="preserve">Hệ thống không phát sinh lỗi hệ thống (500); hiển thị cảnh báo ngày không hợp lệ hoặc danh sách rỗng.</t>
  </si>
  <si>
    <t xml:space="preserve">[1.3.7]</t>
  </si>
  <si>
    <t xml:space="preserve">TC_Projects_15</t>
  </si>
  <si>
    <t xml:space="preserve">Kiểm tra nút Clear all và Apply</t>
  </si>
  <si>
    <t xml:space="preserve">1. Mở Filter, chọn Status = "Completed" -&gt; "Apply".
2. Mở lại Filter, quan sát giá trị.
3. Nhấp "Clear all", quan sát các trường.
4. Nhấp "Apply".</t>
  </si>
  <si>
    <t xml:space="preserve">1. Sau bước 1: chỉ còn "HR Portal Migration".
2. Panel giữ giá trị Status = "Completed" đã áp dụng.
3. "Clear all" đưa các trường về mặc định (Status "---------", Active "Unknown", ngày "mm/dd/yyyy", ô nhập trống).
4. "Apply" sau Clear all: danh sách trở lại đủ 5 dự án.</t>
  </si>
  <si>
    <t xml:space="preserve">[1.3.8]</t>
  </si>
  <si>
    <t xml:space="preserve">TC_Projects_16</t>
  </si>
  <si>
    <t xml:space="preserve">Kiểm tra sắp xếp theo Name, Start Date, End Date</t>
  </si>
  <si>
    <t xml:space="preserve">1. Nhấp icon sắp xếp ở cột Name, sau đó nhấp lần nữa.
2. Lặp lại với cột Start Date.
3. Lặp lại với cột End Date.</t>
  </si>
  <si>
    <t xml:space="preserve">1. Name tăng dần: Data Warehouse, HR Portal Migration, Mobile App, Q4 Marketing Campaign, Website Revamp; nhấp lần 2 đảo ngược thứ tự.
2. Start Date tăng dần: HR Portal Migration (2026-06-26), Data Warehouse (2026-08-10), Website Revamp (2026-08-25), Mobile App (2026-09-14), Q4 Marketing Campaign (2026-10-29).
3. End Date tăng dần: HR Portal Migration (2026-10-04), Mobile App (2026-10-19), Website Revamp (2026-11-23), Data Warehouse (2026-12-08), Q4 Marketing Campaign (2027-01-22).
4. Dữ liệu từng dòng không bị lệch cột sau khi sắp xếp.</t>
  </si>
  <si>
    <t xml:space="preserve">[1.4.1]</t>
  </si>
  <si>
    <t xml:space="preserve">TC_Projects_17</t>
  </si>
  <si>
    <t xml:space="preserve">Kiểm tra chọn bản ghi và Select All</t>
  </si>
  <si>
    <t xml:space="preserve">1. Tích checkbox dòng "Mobile App".
2. Tích checkbox ở tiêu đề cột.
3. Bỏ tích checkbox ở tiêu đề cột.
4. Quan sát nút "Select (5)", sau đó áp dụng bộ lọc Status = "In Progress" và quan sát lại.</t>
  </si>
  <si>
    <t xml:space="preserve">1. Dòng được chọn, trạng thái chọn hiển thị rõ.
2. Chọn toàn bộ 5 dòng.
3. Bỏ chọn toàn bộ các dòng.
4. Nút "Select (5)" hiển thị đúng tổng số bản ghi; sau khi lọc In Progress hiển thị "Select (2)".</t>
  </si>
  <si>
    <t xml:space="preserve">[1.4.2]</t>
  </si>
  <si>
    <t xml:space="preserve">TC_Projects_18</t>
  </si>
  <si>
    <t xml:space="preserve">Kiểm tra dropdown Actions (thao tác hàng loạt)</t>
  </si>
  <si>
    <t xml:space="preserve">1. Khi chưa chọn bản ghi nào, nhấp nút "Actions" và quan sát các mục.
2. Tích chọn 2 dự án, nhấp "Actions" và quan sát.</t>
  </si>
  <si>
    <t xml:space="preserve">1. Dropdown mở ra, hiển thị các thao tác hàng loạt khả dụng, không lỗi.
2. Khi chưa chọn bản ghi: thao tác hàng loạt bị vô hiệu hóa hoặc có cảnh báo yêu cầu chọn bản ghi.
3. Khi đã chọn: thao tác áp dụng đúng cho các bản ghi đã chọn.</t>
  </si>
  <si>
    <t xml:space="preserve">[1.4.3] Cần xác nhận danh sách thao tác thực tế trong Actions và bổ sung bước chi tiết khi thực thi.</t>
  </si>
  <si>
    <t xml:space="preserve">TC_Projects_19</t>
  </si>
  <si>
    <t xml:space="preserve">Kiểm tra tạo dự án mới với dữ liệu hợp lệ</t>
  </si>
  <si>
    <t xml:space="preserve">1. Nhấp nút "Create" (màu đỏ).
2. Nhập Name = "Test Project 01"; Project Managers = "Emily Carter"; Status = "New"; Start date = 11/01/2026; End date = 12/31/2026; Description = "Dự án kiểm thử chức năng tạo mới".
3. Nhấp nút lưu.</t>
  </si>
  <si>
    <t xml:space="preserve">1. Form tạo dự án mở ra với các trường tương ứng cột của danh sách.
2. Hiển thị thông báo tạo thành công.
3. Danh sách thêm dòng "Test Project 01" (tổng 6 dự án): quản lý Emily Carter, Status "New", 2026-11-01, 2026-12-31, Project File "None", Description đúng; nút hiển thị "Select (6)".
4. Card view cũng có thẻ "Test Project 01".</t>
  </si>
  <si>
    <t xml:space="preserve">[1.5.1] Dữ liệu tạo cần được xóa/dọn sau khi kiểm thử.</t>
  </si>
  <si>
    <t xml:space="preserve">TC_Projects_20</t>
  </si>
  <si>
    <t xml:space="preserve">Kiểm tra bắt buộc nhập các trường required khi tạo dự án</t>
  </si>
  <si>
    <t xml:space="preserve">1. Mở form Create, để trống toàn bộ trường -&gt; lưu.
2. Chỉ nhập Name, để trống các trường còn lại -&gt; lưu.
3. Nhập Name chỉ gồm khoảng trắng "   " -&gt; lưu.</t>
  </si>
  <si>
    <t xml:space="preserve">1. Không tạo dự án; các trường bắt buộc được đánh dấu lỗi kèm thông báo.
2. Dự án không được lưu nếu thiếu trường bắt buộc theo đặc tả.
3. Tên chỉ gồm khoảng trắng bị từ chối.
4. Số dự án vẫn giữ nguyên.</t>
  </si>
  <si>
    <t xml:space="preserve">[1.5.2] Xác định danh sách trường bắt buộc theo SRS.</t>
  </si>
  <si>
    <t xml:space="preserve">TC_Projects_21</t>
  </si>
  <si>
    <t xml:space="preserve">Kiểm tra validation ngày: End date trước Start date</t>
  </si>
  <si>
    <t xml:space="preserve">1. Mở form Create.
2. Nhập Name = "Test Date Validation", Start date = 12/31/2026, End date = 11/01/2026.
3. Nhấp nút lưu.</t>
  </si>
  <si>
    <t xml:space="preserve">1. Hệ thống từ chối lưu, hiển thị thông báo lỗi ngày kết thúc không được trước ngày bắt đầu.
2. Dự án "Test Date Validation" không xuất hiện trong danh sách.</t>
  </si>
  <si>
    <t xml:space="preserve">[1.5.3] Bổ sung biên Start date = End date khi có SRS.</t>
  </si>
  <si>
    <t xml:space="preserve">TC_Projects_22</t>
  </si>
  <si>
    <t xml:space="preserve">Kiểm tra đính kèm Project File</t>
  </si>
  <si>
    <t xml:space="preserve">1. Mở form Edit của "Test Project 01".
2. Ở Project File, chọn tệp PDF hợp lệ (khoảng 500KB) -&gt; lưu.
3. Quan sát cột Project File và nhấp vào tệp.
4. Mở lại Edit, chọn tệp ".exe" -&gt; lưu.
5. Chọn tệp rất lớn (&gt; 50MB) -&gt; lưu.</t>
  </si>
  <si>
    <t xml:space="preserve">1. Tệp PDF tải lên thành công.
2. Cột Project File hiển thị tên tệp/liên kết thay vì "None"; nhấp mở/tải đúng tệp.
3. Tệp ".exe" bị từ chối kèm thông báo định dạng không hợp lệ.
4. Tệp quá lớn bị từ chối kèm thông báo dung lượng; không lưu tệp.</t>
  </si>
  <si>
    <t xml:space="preserve">Đã thực hiện TC_Projects_19 (có dự án "Test Project 01").</t>
  </si>
  <si>
    <t xml:space="preserve">[1.5.4] Giới hạn định dạng và dung lượng cần đối chiếu SRS.</t>
  </si>
  <si>
    <t xml:space="preserve">TC_Projects_23</t>
  </si>
  <si>
    <t xml:space="preserve">Kiểm tra chỉnh sửa dự án (Edit)</t>
  </si>
  <si>
    <t xml:space="preserve">1. Tại dòng "Test Project 01", nhấp icon Edit (biểu tượng bút).
2. Đổi Status = "In Progress", End date = 01/15/2027, Description = "Đã cập nhật" -&gt; lưu.
3. Mở lại Edit, đổi Name thành "Test Project 01 - Sửa" rồi đóng form (không lưu).</t>
  </si>
  <si>
    <t xml:space="preserve">1. Form Edit mở ra với dữ liệu hiện tại điền sẵn.
2. Lưu thành công kèm thông báo; dòng cập nhật Status "In Progress", End Date "2027-01-15", Description mới; viền màu đổi theo trạng thái; Card view đồng bộ.
3. Đóng form không lưu: tên dự án giữ nguyên "Test Project 01".</t>
  </si>
  <si>
    <t xml:space="preserve">[1.5.5]</t>
  </si>
  <si>
    <t xml:space="preserve">TC_Projects_24</t>
  </si>
  <si>
    <t xml:space="preserve">Kiểm tra xóa dự án (có hộp thoại xác nhận)</t>
  </si>
  <si>
    <t xml:space="preserve">1. Tại dòng "Test Project 01", nhấp icon Delete (thùng rác màu đỏ).
2. Ở hộp thoại xác nhận, chọn Hủy.
3. Nhấp icon Delete lần nữa và xác nhận xóa.
4. Tìm kiếm "Test Project 01".</t>
  </si>
  <si>
    <t xml:space="preserve">1. Xuất hiện hộp thoại xác nhận trước khi xóa.
2. Chọn Hủy: dự án vẫn còn trong danh sách.
3. Xác nhận: dự án bị xóa kèm thông báo thành công; danh sách còn 5 dự án nền.
4. Tìm kiếm "Test Project 01" không còn kết quả.</t>
  </si>
  <si>
    <t xml:space="preserve">[1.5.6] Không xóa các dự án nền.</t>
  </si>
  <si>
    <t xml:space="preserve">TC_Projects_25</t>
  </si>
  <si>
    <t xml:space="preserve">Kiểm tra lưu trữ dự án (Archive)</t>
  </si>
  <si>
    <t xml:space="preserve">1. Tạo dự án "Test Project 02" tương tự TC_Projects_19.
2. Tại dòng "Test Project 02", nhấp icon Archive (hộp lưu trữ).
3. Xác nhận nếu hệ thống hỏi.
4. Quan sát danh sách chính.
5. Tìm dự án ở nơi xem dự án lưu trữ (ví dụ lọc Active = No).</t>
  </si>
  <si>
    <t xml:space="preserve">1. Dự án được lưu trữ kèm thông báo thành công.
2. "Test Project 02" không còn trong danh sách đang hoạt động.
3. Dự án vẫn truy cập được ở nơi xem dự án lưu trữ và có thể khôi phục nếu hệ thống hỗ trợ.</t>
  </si>
  <si>
    <t xml:space="preserve">[1.5.7] Xác nhận quan hệ giữa bộ lọc "Active" và thao tác Archive. Dọn dữ liệu "Test Project 02" sau khi kiểm thử.</t>
  </si>
  <si>
    <t xml:space="preserve">TC_Projects_26</t>
  </si>
  <si>
    <t xml:space="preserve">Kiểm tra xem Dashboard dự án (icon biểu đồ)</t>
  </si>
  <si>
    <t xml:space="preserve">1. Tại dòng "Website Revamp", nhấp icon biểu đồ ở cột Actions.
2. Quan sát trang đích.
3. Quay lại danh sách, lặp lại ở dòng "Data Warehouse".</t>
  </si>
  <si>
    <t xml:space="preserve">1. Điều hướng tới trang dashboard/chi tiết của đúng dự án "Website Revamp" (tên dự án hiển thị đúng), không lỗi 404/500.
2. Với "Data Warehouse": hiển thị đúng dự án tương ứng, dữ liệu không lẫn giữa hai dự án.
3. Quay lại bằng nút Back hoặc Breadcrumb trở về danh sách Projects.</t>
  </si>
  <si>
    <t xml:space="preserve">[1.5.8]</t>
  </si>
  <si>
    <t xml:space="preserve">TC_Projects_27</t>
  </si>
  <si>
    <t xml:space="preserve">Kiểm tra phân quyền theo vai trò (Security / Permission)</t>
  </si>
  <si>
    <t xml:space="preserve">1. Đăng xuất Adam Admin, đăng nhập bằng tài khoản nhân viên thường (không có quyền quản lý dự án).
2. Truy cập Project &gt; Projects.
3. Quan sát nút "Create" và các icon Edit/Delete/Archive.
4. Dán trực tiếp URL của trang Projects hoặc trang tạo dự án vào thanh địa chỉ.</t>
  </si>
  <si>
    <t xml:space="preserve">1. Tài khoản không đủ quyền không thấy (hoặc bị vô hiệu hóa) nút Create và các icon Edit/Delete/Archive; chỉ xem được dữ liệu theo quyền được cấp.
2. Truy cập trái phép bằng URL bị chặn (thông báo không có quyền/403 hoặc chuyển hướng), không thực hiện được thao tác.</t>
  </si>
  <si>
    <t xml:space="preserve">Có tài khoản nhân viên thường, không có quyền quản lý dự án.</t>
  </si>
  <si>
    <t xml:space="preserve">[1.6.1] Cần chuẩn bị thêm tài khoản test cho vai trò khác Admin.</t>
  </si>
  <si>
    <t xml:space="preserve">TC_Projects_28</t>
  </si>
  <si>
    <t xml:space="preserve">Kiểm tra giao diện Responsive trên Tablet và Mobile</t>
  </si>
  <si>
    <t xml:space="preserve">1. Mở trang Projects bằng Chrome DevTools Device Mode: iPad Air (820x1180).
2. Chuyển sang iPhone 14 (390x844).
3. Chuyển giữa List và Card view, mở panel Filter ở mỗi kích thước.</t>
  </si>
  <si>
    <t xml:space="preserve">1. Tablet: bố cục co giãn, các nút Search/Filter/Actions/Create không bị cắt; bảng cuộn ngang trong vùng chứa hoặc đổi layout phù hợp.
2. Mobile: trang không tràn khung ngang, các nút vẫn bấm được, thẻ dự án xếp 1 cột.
3. Panel Filter hiển thị đủ nội dung, nút "Apply" và "Clear all" không bị che.</t>
  </si>
  <si>
    <t xml:space="preserve">[1.6.2]</t>
  </si>
  <si>
    <t xml:space="preserve">EXECUTIVE TEST SUMMARY REPORT</t>
  </si>
  <si>
    <t xml:space="preserve">Creator</t>
  </si>
  <si>
    <t xml:space="preserve">Execution Date</t>
  </si>
  <si>
    <t xml:space="preserve">TEST EXECUTION SUMMARY BY MODULE</t>
  </si>
  <si>
    <t xml:space="preserve">Module Code / Sheet Name</t>
  </si>
  <si>
    <t xml:space="preserve">Total Test Cases</t>
  </si>
  <si>
    <t xml:space="preserve">Pass Rate (%)</t>
  </si>
  <si>
    <t xml:space="preserve">TOTAL SUMMARY</t>
  </si>
  <si>
    <t xml:space="preserve">OVERALL QUALITY METRICS</t>
  </si>
  <si>
    <t xml:space="preserve">Test Coverage Rate:</t>
  </si>
  <si>
    <t xml:space="preserve">Test Success Rate (Pass Rate):</t>
  </si>
  <si>
    <t xml:space="preserve">Kiểm tra đối chiếu số liệu:</t>
  </si>
  <si>
    <t xml:space="preserve">Ghi chú: Coverage = (Passed + Failed) / (Total - Blocked - Skipped); Pass Rate (%) = Passed / Total x 100; Success Rate = Passed / (Passed + Failed).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</si>
</sst>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00%"/>
  </numFmts>
  <fonts count="11">
    <font>
      <sz val="11"/>
      <color theme="1"/>
      <name val="Calibri"/>
      <family val="2"/>
      <charset val="1"/>
    </font>
    <font>
      <sz val="10"/>
      <name val="Arial"/>
      <family val="0"/>
    </font>
    <font>
      <sz val="10"/>
      <name val="Arial"/>
      <family val="0"/>
    </font>
    <font>
      <sz val="10"/>
      <name val="Arial"/>
      <family val="0"/>
    </font>
    <font>
      <b val="true"/>
      <sz val="16"/>
      <color rgb="FF1F497D"/>
      <name val="Segoe UI"/>
      <family val="0"/>
      <charset val="1"/>
    </font>
    <font>
      <b val="true"/>
      <sz val="10"/>
      <name val="Segoe UI"/>
      <family val="0"/>
      <charset val="1"/>
    </font>
    <font>
      <sz val="10"/>
      <name val="Segoe UI"/>
      <family val="0"/>
      <charset val="1"/>
    </font>
    <font>
      <b val="true"/>
      <sz val="12"/>
      <color rgb="FF1F497D"/>
      <name val="Segoe UI"/>
      <family val="0"/>
      <charset val="1"/>
    </font>
    <font>
      <b val="true"/>
      <sz val="10"/>
      <color rgb="FFFFFFFF"/>
      <name val="Segoe UI"/>
      <family val="0"/>
      <charset val="1"/>
    </font>
    <font>
      <u val="single"/>
      <sz val="10"/>
      <color rgb="FF0563C1"/>
      <name val="Segoe UI"/>
      <family val="0"/>
      <charset val="1"/>
    </font>
    <font>
      <sz val="9"/>
      <name val="Segoe UI"/>
      <family val="0"/>
      <charset val="1"/>
    </font>
  </fonts>
  <fills count="4">
    <fill>
      <patternFill patternType="none"/>
    </fill>
    <fill>
      <patternFill patternType="gray125"/>
    </fill>
    <fill>
      <patternFill patternType="solid">
        <fgColor rgb="FF1F497D"/>
        <bgColor rgb="FF1F4E78"/>
      </patternFill>
    </fill>
    <fill>
      <patternFill patternType="solid">
        <fgColor rgb="FFDCE6F1"/>
        <bgColor rgb="FFDDEBF7"/>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5"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6" fillId="0" borderId="1" xfId="0" applyFont="true" applyBorder="true" applyAlignment="true" applyProtection="true">
      <alignment horizontal="center" vertical="center" textRotation="0" wrapText="true" indent="0" shrinkToFit="false"/>
      <protection locked="true" hidden="false"/>
    </xf>
    <xf numFmtId="164" fontId="6" fillId="0" borderId="1"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center" vertical="top" textRotation="0" wrapText="tru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5" fontId="6" fillId="0" borderId="1" xfId="0" applyFont="true" applyBorder="true" applyAlignment="true" applyProtection="true">
      <alignment horizontal="center" vertical="top" textRotation="0" wrapText="tru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6" fillId="0" borderId="1"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left" vertical="center" textRotation="0" wrapText="false" indent="0" shrinkToFit="false"/>
      <protection locked="true" hidden="false"/>
    </xf>
    <xf numFmtId="166" fontId="6"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66" fontId="5" fillId="0" borderId="1" xfId="0" applyFont="true" applyBorder="true" applyAlignment="true" applyProtection="true">
      <alignment horizontal="center" vertical="center" textRotation="0" wrapText="false" indent="0" shrinkToFit="false"/>
      <protection locked="true" hidden="false"/>
    </xf>
    <xf numFmtId="167" fontId="5"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006100"/>
      </font>
      <fill>
        <patternFill>
          <bgColor rgb="FFC6EFCE"/>
        </patternFill>
      </fill>
    </dxf>
    <dxf>
      <font>
        <color rgb="FF9C0006"/>
      </font>
      <fill>
        <patternFill>
          <bgColor rgb="FFFFC7CE"/>
        </patternFill>
      </fill>
    </dxf>
    <dxf>
      <font>
        <color rgb="FF833C0B"/>
      </font>
      <fill>
        <patternFill>
          <bgColor rgb="FFF8CBAD"/>
        </patternFill>
      </fill>
    </dxf>
    <dxf>
      <font>
        <color rgb="FF1F4E78"/>
      </font>
      <fill>
        <patternFill>
          <bgColor rgb="FFDDEBF7"/>
        </patternFill>
      </fill>
    </dxf>
    <dxf>
      <font>
        <color rgb="FF404040"/>
      </font>
      <fill>
        <patternFill>
          <bgColor rgb="FFD9D9D9"/>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FFC7CE"/>
      <rgbColor rgb="FF808080"/>
      <rgbColor rgb="FF9999FF"/>
      <rgbColor rgb="FF993366"/>
      <rgbColor rgb="FFFFFF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DCE6F1"/>
      <rgbColor rgb="FFC6EFCE"/>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4E78"/>
      <rgbColor rgb="FF339966"/>
      <rgbColor rgb="FF003300"/>
      <rgbColor rgb="FF333300"/>
      <rgbColor rgb="FF833C0B"/>
      <rgbColor rgb="FF993366"/>
      <rgbColor rgb="FF1F497D"/>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6" activeCellId="1" sqref="A11:E11 E6"/>
    </sheetView>
  </sheetViews>
  <sheetFormatPr defaultColWidth="8.68359375" defaultRowHeight="15" customHeight="false"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30"/>
    <col collapsed="false" customWidth="true" hidden="false" outlineLevel="0" max="4" min="4" style="1" width="22"/>
    <col collapsed="false" customWidth="true" hidden="false" outlineLevel="0" max="5" min="5" style="1" width="70"/>
  </cols>
  <sheetData>
    <row r="2" customFormat="false" ht="19.7" hidden="false" customHeight="false" outlineLevel="0" collapsed="false">
      <c r="B2" s="2" t="s">
        <v>0</v>
      </c>
    </row>
    <row r="4" customFormat="false" ht="15" hidden="false" customHeight="false" outlineLevel="0" collapsed="false">
      <c r="B4" s="3" t="s">
        <v>1</v>
      </c>
      <c r="C4" s="4" t="s">
        <v>2</v>
      </c>
    </row>
    <row r="5" customFormat="false" ht="15" hidden="false" customHeight="false" outlineLevel="0" collapsed="false">
      <c r="B5" s="3" t="s">
        <v>3</v>
      </c>
      <c r="C5" s="4" t="s">
        <v>4</v>
      </c>
    </row>
    <row r="6" customFormat="false" ht="15" hidden="false" customHeight="false" outlineLevel="0" collapsed="false">
      <c r="B6" s="3" t="s">
        <v>5</v>
      </c>
      <c r="C6" s="4" t="str">
        <f aca="false">C5&amp;"_TestDesign_TestCase_v"&amp;C10</f>
        <v>HORILLA-PRJ_TestDesign_TestCase_v1.0</v>
      </c>
    </row>
    <row r="7" customFormat="false" ht="15" hidden="false" customHeight="false" outlineLevel="0" collapsed="false">
      <c r="B7" s="3" t="s">
        <v>6</v>
      </c>
      <c r="C7" s="4" t="s">
        <v>7</v>
      </c>
    </row>
    <row r="8" customFormat="false" ht="15" hidden="false" customHeight="false" outlineLevel="0" collapsed="false">
      <c r="B8" s="3" t="s">
        <v>8</v>
      </c>
      <c r="C8" s="4" t="s">
        <v>9</v>
      </c>
    </row>
    <row r="9" customFormat="false" ht="15" hidden="false" customHeight="false" outlineLevel="0" collapsed="false">
      <c r="B9" s="3" t="s">
        <v>10</v>
      </c>
      <c r="C9" s="5" t="n">
        <v>46319</v>
      </c>
    </row>
    <row r="10" customFormat="false" ht="15" hidden="false" customHeight="false" outlineLevel="0" collapsed="false">
      <c r="B10" s="3" t="s">
        <v>11</v>
      </c>
      <c r="C10" s="4" t="s">
        <v>12</v>
      </c>
    </row>
    <row r="12" customFormat="false" ht="15" hidden="false" customHeight="false" outlineLevel="0" collapsed="false">
      <c r="B12" s="6" t="s">
        <v>13</v>
      </c>
    </row>
    <row r="13" customFormat="false" ht="15" hidden="false" customHeight="false" outlineLevel="0" collapsed="false">
      <c r="B13" s="7" t="s">
        <v>14</v>
      </c>
      <c r="C13" s="7" t="s">
        <v>15</v>
      </c>
      <c r="D13" s="7" t="s">
        <v>16</v>
      </c>
      <c r="E13" s="7" t="s">
        <v>17</v>
      </c>
    </row>
    <row r="14" customFormat="false" ht="57.75" hidden="false" customHeight="true" outlineLevel="0" collapsed="false">
      <c r="B14" s="8" t="n">
        <v>1</v>
      </c>
      <c r="C14" s="8" t="str">
        <f aca="false">C7</f>
        <v>Nguyễn Đình Hiếu</v>
      </c>
      <c r="D14" s="9" t="s">
        <v>18</v>
      </c>
      <c r="E14" s="9" t="s">
        <v>19</v>
      </c>
    </row>
    <row r="16" customFormat="false" ht="15" hidden="false" customHeight="false" outlineLevel="0" collapsed="false">
      <c r="B16" s="6" t="s">
        <v>20</v>
      </c>
    </row>
    <row r="17" customFormat="false" ht="15" hidden="false" customHeight="false" outlineLevel="0" collapsed="false">
      <c r="B17" s="7" t="s">
        <v>14</v>
      </c>
      <c r="C17" s="7" t="s">
        <v>21</v>
      </c>
      <c r="D17" s="7" t="s">
        <v>22</v>
      </c>
      <c r="E17" s="7" t="s">
        <v>23</v>
      </c>
    </row>
    <row r="18" customFormat="false" ht="15" hidden="false" customHeight="false" outlineLevel="0" collapsed="false">
      <c r="B18" s="8" t="n">
        <v>1</v>
      </c>
      <c r="C18" s="9" t="s">
        <v>24</v>
      </c>
      <c r="D18" s="9" t="s">
        <v>25</v>
      </c>
      <c r="E18" s="9" t="s">
        <v>26</v>
      </c>
    </row>
    <row r="19" customFormat="false" ht="15" hidden="false" customHeight="false" outlineLevel="0" collapsed="false">
      <c r="B19" s="8" t="n">
        <v>2</v>
      </c>
      <c r="C19" s="9" t="s">
        <v>27</v>
      </c>
      <c r="D19" s="9" t="s">
        <v>28</v>
      </c>
      <c r="E19" s="9" t="s">
        <v>29</v>
      </c>
    </row>
    <row r="20" customFormat="false" ht="15" hidden="false" customHeight="false" outlineLevel="0" collapsed="false">
      <c r="B20" s="8" t="n">
        <v>3</v>
      </c>
      <c r="C20" s="9" t="s">
        <v>30</v>
      </c>
      <c r="D20" s="9" t="s">
        <v>31</v>
      </c>
      <c r="E20" s="9" t="s">
        <v>32</v>
      </c>
    </row>
    <row r="21" customFormat="false" ht="15" hidden="false" customHeight="false" outlineLevel="0" collapsed="false">
      <c r="B21" s="8" t="n">
        <v>4</v>
      </c>
      <c r="C21" s="9" t="s">
        <v>33</v>
      </c>
      <c r="D21" s="9" t="s">
        <v>34</v>
      </c>
      <c r="E21" s="9" t="s">
        <v>35</v>
      </c>
    </row>
    <row r="22" customFormat="false" ht="15" hidden="false" customHeight="false" outlineLevel="0" collapsed="false">
      <c r="B22" s="8" t="n">
        <v>5</v>
      </c>
      <c r="C22" s="9" t="s">
        <v>36</v>
      </c>
      <c r="D22" s="9" t="s">
        <v>37</v>
      </c>
      <c r="E22" s="9" t="s">
        <v>38</v>
      </c>
    </row>
    <row r="24" customFormat="false" ht="15" hidden="false" customHeight="false" outlineLevel="0" collapsed="false">
      <c r="B24" s="10"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A11:E11 A1"/>
    </sheetView>
  </sheetViews>
  <sheetFormatPr defaultColWidth="8.68359375" defaultRowHeight="15" customHeight="fals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28"/>
    <col collapsed="false" customWidth="true" hidden="false" outlineLevel="0" max="4" min="4" style="1" width="24"/>
    <col collapsed="false" customWidth="true" hidden="false" outlineLevel="0" max="5" min="5" style="1" width="75"/>
    <col collapsed="false" customWidth="true" hidden="false" outlineLevel="0" max="7" min="6" style="1" width="16"/>
  </cols>
  <sheetData>
    <row r="2" customFormat="false" ht="19.7" hidden="false" customHeight="false" outlineLevel="0" collapsed="false">
      <c r="B2" s="2" t="s">
        <v>40</v>
      </c>
    </row>
    <row r="4" customFormat="false" ht="15" hidden="false" customHeight="false" outlineLevel="0" collapsed="false">
      <c r="B4" s="7" t="s">
        <v>14</v>
      </c>
      <c r="C4" s="7" t="s">
        <v>16</v>
      </c>
      <c r="D4" s="7" t="s">
        <v>41</v>
      </c>
      <c r="E4" s="7" t="s">
        <v>42</v>
      </c>
      <c r="F4" s="7" t="s">
        <v>43</v>
      </c>
      <c r="G4" s="7" t="s">
        <v>44</v>
      </c>
    </row>
    <row r="5" customFormat="false" ht="43.5" hidden="false" customHeight="true" outlineLevel="0" collapsed="false">
      <c r="B5" s="8" t="n">
        <v>1</v>
      </c>
      <c r="C5" s="8" t="str">
        <f aca="false">Projects!B2</f>
        <v>Project &gt; Projects (Quản lý danh sách dự án)</v>
      </c>
      <c r="D5" s="11" t="s">
        <v>45</v>
      </c>
      <c r="E5" s="9" t="s">
        <v>46</v>
      </c>
      <c r="F5" s="8" t="n">
        <f aca="false">Projects!F5</f>
        <v>28</v>
      </c>
      <c r="G5" s="8" t="str">
        <f aca="false">IF(F5=0,"Empty",IF(Projects!C5=F5,"Ready",IF(Projects!C5=0,"Completed","In progress")))</f>
        <v>Ready</v>
      </c>
    </row>
    <row r="7" customFormat="false" ht="15" hidden="false" customHeight="false" outlineLevel="0" collapsed="false">
      <c r="E7" s="12" t="s">
        <v>47</v>
      </c>
      <c r="F7" s="13" t="n">
        <f aca="false">SUM(F5)</f>
        <v>28</v>
      </c>
    </row>
  </sheetData>
  <hyperlinks>
    <hyperlink ref="D5" location="Projects!A1" display="Projec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A11:E11 A1"/>
    </sheetView>
  </sheetViews>
  <sheetFormatPr defaultColWidth="8.68359375" defaultRowHeight="15" customHeight="false" zeroHeight="false" outlineLevelRow="0" outlineLevelCol="0"/>
  <cols>
    <col collapsed="false" customWidth="true" hidden="false" outlineLevel="0" max="1" min="1" style="1" width="28"/>
    <col collapsed="false" customWidth="true" hidden="false" outlineLevel="0" max="2" min="2" style="1" width="32"/>
    <col collapsed="false" customWidth="true" hidden="false" outlineLevel="0" max="3" min="3" style="1" width="34"/>
    <col collapsed="false" customWidth="true" hidden="false" outlineLevel="0" max="4" min="4" style="1" width="62"/>
    <col collapsed="false" customWidth="true" hidden="false" outlineLevel="0" max="5" min="5" style="1" width="22"/>
    <col collapsed="false" customWidth="true" hidden="false" outlineLevel="0" max="6" min="6" style="1" width="18"/>
    <col collapsed="false" customWidth="true" hidden="false" outlineLevel="0" max="7" min="7" style="1" width="40"/>
  </cols>
  <sheetData>
    <row r="1" customFormat="false" ht="15" hidden="false" customHeight="false" outlineLevel="0" collapsed="false">
      <c r="A1" s="7" t="s">
        <v>48</v>
      </c>
      <c r="B1" s="7" t="s">
        <v>49</v>
      </c>
      <c r="C1" s="7" t="s">
        <v>50</v>
      </c>
      <c r="D1" s="7" t="s">
        <v>51</v>
      </c>
      <c r="E1" s="7" t="s">
        <v>52</v>
      </c>
      <c r="F1" s="7" t="s">
        <v>53</v>
      </c>
      <c r="G1" s="7" t="s">
        <v>54</v>
      </c>
    </row>
    <row r="2" customFormat="false" ht="34.5" hidden="false" customHeight="true" outlineLevel="0" collapsed="false">
      <c r="A2" s="9" t="s">
        <v>55</v>
      </c>
      <c r="B2" s="9" t="s">
        <v>56</v>
      </c>
      <c r="C2" s="9" t="s">
        <v>57</v>
      </c>
      <c r="D2" s="9" t="s">
        <v>58</v>
      </c>
      <c r="E2" s="9" t="s">
        <v>59</v>
      </c>
      <c r="F2" s="9" t="s">
        <v>60</v>
      </c>
      <c r="G2" s="9" t="s">
        <v>61</v>
      </c>
    </row>
    <row r="3" customFormat="false" ht="48" hidden="false" customHeight="true" outlineLevel="0" collapsed="false">
      <c r="A3" s="9"/>
      <c r="B3" s="9"/>
      <c r="C3" s="9" t="s">
        <v>62</v>
      </c>
      <c r="D3" s="9" t="s">
        <v>63</v>
      </c>
      <c r="E3" s="9" t="s">
        <v>59</v>
      </c>
      <c r="F3" s="9" t="s">
        <v>64</v>
      </c>
      <c r="G3" s="9" t="s">
        <v>65</v>
      </c>
    </row>
    <row r="4" customFormat="false" ht="34.5" hidden="false" customHeight="true" outlineLevel="0" collapsed="false">
      <c r="A4" s="9"/>
      <c r="B4" s="9"/>
      <c r="C4" s="9" t="s">
        <v>66</v>
      </c>
      <c r="D4" s="9" t="s">
        <v>67</v>
      </c>
      <c r="E4" s="9" t="s">
        <v>68</v>
      </c>
      <c r="F4" s="9" t="s">
        <v>64</v>
      </c>
      <c r="G4" s="9" t="s">
        <v>69</v>
      </c>
    </row>
    <row r="5" customFormat="false" ht="34.5" hidden="false" customHeight="true" outlineLevel="0" collapsed="false">
      <c r="A5" s="9"/>
      <c r="B5" s="9"/>
      <c r="C5" s="9" t="s">
        <v>70</v>
      </c>
      <c r="D5" s="9" t="s">
        <v>71</v>
      </c>
      <c r="E5" s="9" t="s">
        <v>72</v>
      </c>
      <c r="F5" s="9" t="s">
        <v>60</v>
      </c>
      <c r="G5" s="9" t="s">
        <v>73</v>
      </c>
    </row>
    <row r="6" customFormat="false" ht="48" hidden="false" customHeight="true" outlineLevel="0" collapsed="false">
      <c r="A6" s="9"/>
      <c r="B6" s="9"/>
      <c r="C6" s="9" t="s">
        <v>74</v>
      </c>
      <c r="D6" s="9" t="s">
        <v>75</v>
      </c>
      <c r="E6" s="9" t="s">
        <v>72</v>
      </c>
      <c r="F6" s="9" t="s">
        <v>76</v>
      </c>
      <c r="G6" s="9" t="s">
        <v>77</v>
      </c>
    </row>
    <row r="7" customFormat="false" ht="34.5" hidden="false" customHeight="true" outlineLevel="0" collapsed="false">
      <c r="A7" s="9"/>
      <c r="B7" s="9" t="s">
        <v>78</v>
      </c>
      <c r="C7" s="9" t="s">
        <v>79</v>
      </c>
      <c r="D7" s="9" t="s">
        <v>80</v>
      </c>
      <c r="E7" s="9" t="s">
        <v>81</v>
      </c>
      <c r="F7" s="9" t="s">
        <v>64</v>
      </c>
      <c r="G7" s="9" t="s">
        <v>82</v>
      </c>
    </row>
    <row r="8" customFormat="false" ht="34.5" hidden="false" customHeight="true" outlineLevel="0" collapsed="false">
      <c r="A8" s="9"/>
      <c r="B8" s="9"/>
      <c r="C8" s="9" t="s">
        <v>83</v>
      </c>
      <c r="D8" s="9" t="s">
        <v>84</v>
      </c>
      <c r="E8" s="9" t="s">
        <v>85</v>
      </c>
      <c r="F8" s="9" t="s">
        <v>60</v>
      </c>
      <c r="G8" s="9" t="s">
        <v>86</v>
      </c>
    </row>
    <row r="9" customFormat="false" ht="34.5" hidden="false" customHeight="true" outlineLevel="0" collapsed="false">
      <c r="A9" s="9"/>
      <c r="B9" s="9" t="s">
        <v>87</v>
      </c>
      <c r="C9" s="9" t="s">
        <v>88</v>
      </c>
      <c r="D9" s="9" t="s">
        <v>89</v>
      </c>
      <c r="E9" s="9" t="s">
        <v>59</v>
      </c>
      <c r="F9" s="9" t="s">
        <v>60</v>
      </c>
      <c r="G9" s="9" t="s">
        <v>90</v>
      </c>
    </row>
    <row r="10" customFormat="false" ht="34.5" hidden="false" customHeight="true" outlineLevel="0" collapsed="false">
      <c r="A10" s="9"/>
      <c r="B10" s="9"/>
      <c r="C10" s="9" t="s">
        <v>91</v>
      </c>
      <c r="D10" s="9" t="s">
        <v>92</v>
      </c>
      <c r="E10" s="9" t="s">
        <v>81</v>
      </c>
      <c r="F10" s="9" t="s">
        <v>64</v>
      </c>
      <c r="G10" s="9" t="s">
        <v>93</v>
      </c>
    </row>
    <row r="11" customFormat="false" ht="34.5" hidden="false" customHeight="true" outlineLevel="0" collapsed="false">
      <c r="A11" s="9"/>
      <c r="B11" s="9"/>
      <c r="C11" s="9" t="s">
        <v>94</v>
      </c>
      <c r="D11" s="9" t="s">
        <v>95</v>
      </c>
      <c r="E11" s="9" t="s">
        <v>81</v>
      </c>
      <c r="F11" s="9" t="s">
        <v>64</v>
      </c>
      <c r="G11" s="9" t="s">
        <v>96</v>
      </c>
    </row>
    <row r="12" customFormat="false" ht="34.5" hidden="false" customHeight="true" outlineLevel="0" collapsed="false">
      <c r="A12" s="9"/>
      <c r="B12" s="9"/>
      <c r="C12" s="9" t="s">
        <v>97</v>
      </c>
      <c r="D12" s="9" t="s">
        <v>98</v>
      </c>
      <c r="E12" s="9" t="s">
        <v>81</v>
      </c>
      <c r="F12" s="9" t="s">
        <v>64</v>
      </c>
      <c r="G12" s="9" t="s">
        <v>99</v>
      </c>
    </row>
    <row r="13" customFormat="false" ht="34.5" hidden="false" customHeight="true" outlineLevel="0" collapsed="false">
      <c r="A13" s="9"/>
      <c r="B13" s="9"/>
      <c r="C13" s="9" t="s">
        <v>100</v>
      </c>
      <c r="D13" s="9" t="s">
        <v>101</v>
      </c>
      <c r="E13" s="9" t="s">
        <v>102</v>
      </c>
      <c r="F13" s="9" t="s">
        <v>64</v>
      </c>
      <c r="G13" s="9" t="s">
        <v>103</v>
      </c>
    </row>
    <row r="14" customFormat="false" ht="34.5" hidden="false" customHeight="true" outlineLevel="0" collapsed="false">
      <c r="A14" s="9"/>
      <c r="B14" s="9"/>
      <c r="C14" s="9" t="s">
        <v>104</v>
      </c>
      <c r="D14" s="9" t="s">
        <v>105</v>
      </c>
      <c r="E14" s="9" t="s">
        <v>81</v>
      </c>
      <c r="F14" s="9" t="s">
        <v>64</v>
      </c>
      <c r="G14" s="9" t="s">
        <v>106</v>
      </c>
    </row>
    <row r="15" customFormat="false" ht="34.5" hidden="false" customHeight="true" outlineLevel="0" collapsed="false">
      <c r="A15" s="9"/>
      <c r="B15" s="9"/>
      <c r="C15" s="9" t="s">
        <v>107</v>
      </c>
      <c r="D15" s="9" t="s">
        <v>108</v>
      </c>
      <c r="E15" s="9" t="s">
        <v>109</v>
      </c>
      <c r="F15" s="9" t="s">
        <v>60</v>
      </c>
      <c r="G15" s="9" t="s">
        <v>110</v>
      </c>
    </row>
    <row r="16" customFormat="false" ht="48" hidden="false" customHeight="true" outlineLevel="0" collapsed="false">
      <c r="A16" s="9"/>
      <c r="B16" s="9"/>
      <c r="C16" s="9" t="s">
        <v>111</v>
      </c>
      <c r="D16" s="9" t="s">
        <v>112</v>
      </c>
      <c r="E16" s="9" t="s">
        <v>68</v>
      </c>
      <c r="F16" s="9" t="s">
        <v>60</v>
      </c>
      <c r="G16" s="9" t="s">
        <v>113</v>
      </c>
    </row>
    <row r="17" customFormat="false" ht="34.5" hidden="false" customHeight="true" outlineLevel="0" collapsed="false">
      <c r="A17" s="9"/>
      <c r="B17" s="9" t="s">
        <v>114</v>
      </c>
      <c r="C17" s="9" t="s">
        <v>115</v>
      </c>
      <c r="D17" s="9" t="s">
        <v>116</v>
      </c>
      <c r="E17" s="9" t="s">
        <v>81</v>
      </c>
      <c r="F17" s="9" t="s">
        <v>64</v>
      </c>
      <c r="G17" s="9" t="s">
        <v>117</v>
      </c>
    </row>
    <row r="18" customFormat="false" ht="34.5" hidden="false" customHeight="true" outlineLevel="0" collapsed="false">
      <c r="A18" s="9"/>
      <c r="B18" s="9"/>
      <c r="C18" s="9" t="s">
        <v>118</v>
      </c>
      <c r="D18" s="9" t="s">
        <v>119</v>
      </c>
      <c r="E18" s="9" t="s">
        <v>68</v>
      </c>
      <c r="F18" s="9" t="s">
        <v>60</v>
      </c>
      <c r="G18" s="9" t="s">
        <v>120</v>
      </c>
    </row>
    <row r="19" customFormat="false" ht="34.5" hidden="false" customHeight="true" outlineLevel="0" collapsed="false">
      <c r="A19" s="9"/>
      <c r="B19" s="9"/>
      <c r="C19" s="9" t="s">
        <v>121</v>
      </c>
      <c r="D19" s="9" t="s">
        <v>122</v>
      </c>
      <c r="E19" s="9" t="s">
        <v>81</v>
      </c>
      <c r="F19" s="9" t="s">
        <v>60</v>
      </c>
      <c r="G19" s="9" t="s">
        <v>123</v>
      </c>
    </row>
    <row r="20" customFormat="false" ht="34.5" hidden="false" customHeight="true" outlineLevel="0" collapsed="false">
      <c r="A20" s="9"/>
      <c r="B20" s="9" t="s">
        <v>124</v>
      </c>
      <c r="C20" s="9" t="s">
        <v>125</v>
      </c>
      <c r="D20" s="9" t="s">
        <v>126</v>
      </c>
      <c r="E20" s="9" t="s">
        <v>81</v>
      </c>
      <c r="F20" s="9" t="s">
        <v>127</v>
      </c>
      <c r="G20" s="9" t="s">
        <v>128</v>
      </c>
    </row>
    <row r="21" customFormat="false" ht="34.5" hidden="false" customHeight="true" outlineLevel="0" collapsed="false">
      <c r="A21" s="9"/>
      <c r="B21" s="9"/>
      <c r="C21" s="9" t="s">
        <v>129</v>
      </c>
      <c r="D21" s="9" t="s">
        <v>130</v>
      </c>
      <c r="E21" s="9" t="s">
        <v>131</v>
      </c>
      <c r="F21" s="9" t="s">
        <v>64</v>
      </c>
      <c r="G21" s="9" t="s">
        <v>132</v>
      </c>
    </row>
    <row r="22" customFormat="false" ht="34.5" hidden="false" customHeight="true" outlineLevel="0" collapsed="false">
      <c r="A22" s="9"/>
      <c r="B22" s="9"/>
      <c r="C22" s="9" t="s">
        <v>133</v>
      </c>
      <c r="D22" s="9" t="s">
        <v>134</v>
      </c>
      <c r="E22" s="9" t="s">
        <v>109</v>
      </c>
      <c r="F22" s="9" t="s">
        <v>64</v>
      </c>
      <c r="G22" s="9" t="s">
        <v>135</v>
      </c>
    </row>
    <row r="23" customFormat="false" ht="34.5" hidden="false" customHeight="true" outlineLevel="0" collapsed="false">
      <c r="A23" s="9"/>
      <c r="B23" s="9"/>
      <c r="C23" s="9" t="s">
        <v>136</v>
      </c>
      <c r="D23" s="9" t="s">
        <v>137</v>
      </c>
      <c r="E23" s="9" t="s">
        <v>138</v>
      </c>
      <c r="F23" s="9" t="s">
        <v>64</v>
      </c>
      <c r="G23" s="9" t="s">
        <v>139</v>
      </c>
    </row>
    <row r="24" customFormat="false" ht="34.5" hidden="false" customHeight="true" outlineLevel="0" collapsed="false">
      <c r="A24" s="9"/>
      <c r="B24" s="9"/>
      <c r="C24" s="9" t="s">
        <v>140</v>
      </c>
      <c r="D24" s="9" t="s">
        <v>141</v>
      </c>
      <c r="E24" s="9" t="s">
        <v>81</v>
      </c>
      <c r="F24" s="9" t="s">
        <v>127</v>
      </c>
      <c r="G24" s="9" t="s">
        <v>142</v>
      </c>
    </row>
    <row r="25" customFormat="false" ht="34.5" hidden="false" customHeight="true" outlineLevel="0" collapsed="false">
      <c r="A25" s="9"/>
      <c r="B25" s="9"/>
      <c r="C25" s="9" t="s">
        <v>143</v>
      </c>
      <c r="D25" s="9" t="s">
        <v>144</v>
      </c>
      <c r="E25" s="9" t="s">
        <v>81</v>
      </c>
      <c r="F25" s="9" t="s">
        <v>64</v>
      </c>
      <c r="G25" s="9" t="s">
        <v>145</v>
      </c>
    </row>
    <row r="26" customFormat="false" ht="34.5" hidden="false" customHeight="true" outlineLevel="0" collapsed="false">
      <c r="A26" s="9"/>
      <c r="B26" s="9"/>
      <c r="C26" s="9" t="s">
        <v>146</v>
      </c>
      <c r="D26" s="9" t="s">
        <v>147</v>
      </c>
      <c r="E26" s="9" t="s">
        <v>81</v>
      </c>
      <c r="F26" s="9" t="s">
        <v>60</v>
      </c>
      <c r="G26" s="9" t="s">
        <v>148</v>
      </c>
    </row>
    <row r="27" customFormat="false" ht="31.5" hidden="false" customHeight="true" outlineLevel="0" collapsed="false">
      <c r="A27" s="9"/>
      <c r="B27" s="9"/>
      <c r="C27" s="9" t="s">
        <v>149</v>
      </c>
      <c r="D27" s="9" t="s">
        <v>150</v>
      </c>
      <c r="E27" s="9" t="s">
        <v>81</v>
      </c>
      <c r="F27" s="9" t="s">
        <v>60</v>
      </c>
      <c r="G27" s="9" t="s">
        <v>151</v>
      </c>
    </row>
    <row r="28" customFormat="false" ht="48" hidden="false" customHeight="true" outlineLevel="0" collapsed="false">
      <c r="A28" s="9"/>
      <c r="B28" s="9" t="s">
        <v>152</v>
      </c>
      <c r="C28" s="9" t="s">
        <v>153</v>
      </c>
      <c r="D28" s="9" t="s">
        <v>154</v>
      </c>
      <c r="E28" s="9" t="s">
        <v>155</v>
      </c>
      <c r="F28" s="9" t="s">
        <v>127</v>
      </c>
      <c r="G28" s="9" t="s">
        <v>156</v>
      </c>
    </row>
    <row r="29" customFormat="false" ht="34.5" hidden="false" customHeight="true" outlineLevel="0" collapsed="false">
      <c r="A29" s="9"/>
      <c r="B29" s="9"/>
      <c r="C29" s="9" t="s">
        <v>157</v>
      </c>
      <c r="D29" s="9" t="s">
        <v>158</v>
      </c>
      <c r="E29" s="9" t="s">
        <v>159</v>
      </c>
      <c r="F29" s="9" t="s">
        <v>60</v>
      </c>
      <c r="G29" s="9"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1" activeCellId="0" sqref="A11:E11"/>
    </sheetView>
  </sheetViews>
  <sheetFormatPr defaultColWidth="8.68359375" defaultRowHeight="15" customHeight="false" zeroHeight="false" outlineLevelRow="0" outlineLevelCol="0"/>
  <cols>
    <col collapsed="false" customWidth="true" hidden="false" outlineLevel="0" max="1" min="1" style="1" width="25"/>
    <col collapsed="false" customWidth="true" hidden="false" outlineLevel="0" max="2" min="2" style="1" width="34"/>
    <col collapsed="false" customWidth="true" hidden="false" outlineLevel="0" max="4" min="3" style="1" width="52"/>
    <col collapsed="false" customWidth="true" hidden="false" outlineLevel="0" max="5" min="5" style="1" width="32"/>
    <col collapsed="false" customWidth="true" hidden="false" outlineLevel="0" max="7" min="6" style="1" width="14"/>
    <col collapsed="false" customWidth="true" hidden="false" outlineLevel="0" max="8" min="8" style="1" width="34"/>
  </cols>
  <sheetData>
    <row r="1" customFormat="false" ht="15" hidden="false" customHeight="false" outlineLevel="0" collapsed="false">
      <c r="A1" s="3" t="s">
        <v>161</v>
      </c>
      <c r="B1" s="10" t="s">
        <v>162</v>
      </c>
    </row>
    <row r="2" customFormat="false" ht="15" hidden="false" customHeight="false" outlineLevel="0" collapsed="false">
      <c r="A2" s="3" t="s">
        <v>163</v>
      </c>
      <c r="B2" s="10" t="s">
        <v>18</v>
      </c>
    </row>
    <row r="3" customFormat="false" ht="15" hidden="false" customHeight="false" outlineLevel="0" collapsed="false">
      <c r="A3" s="3" t="s">
        <v>164</v>
      </c>
      <c r="B3" s="10" t="str">
        <f aca="false">Cover!C7</f>
        <v>Nguyễn Đình Hiếu</v>
      </c>
    </row>
    <row r="4" customFormat="false" ht="15" hidden="false" customHeight="false" outlineLevel="0" collapsed="false">
      <c r="A4" s="14" t="s">
        <v>165</v>
      </c>
      <c r="B4" s="14" t="s">
        <v>166</v>
      </c>
      <c r="C4" s="14" t="s">
        <v>167</v>
      </c>
      <c r="D4" s="14" t="s">
        <v>168</v>
      </c>
      <c r="E4" s="14" t="s">
        <v>169</v>
      </c>
      <c r="F4" s="14" t="s">
        <v>170</v>
      </c>
    </row>
    <row r="5" customFormat="false" ht="15" hidden="false" customHeight="false" outlineLevel="0" collapsed="false">
      <c r="A5" s="15" t="n">
        <f aca="false">COUNTIF(F8:F143,"Passed")</f>
        <v>0</v>
      </c>
      <c r="B5" s="15" t="n">
        <f aca="false">COUNTIF(F8:F143,"Failed")</f>
        <v>0</v>
      </c>
      <c r="C5" s="15" t="n">
        <f aca="false">F5-A5-B5-D5-E5</f>
        <v>28</v>
      </c>
      <c r="D5" s="15" t="n">
        <f aca="false">COUNTIF(F8:F143,"Blocked")</f>
        <v>0</v>
      </c>
      <c r="E5" s="15" t="n">
        <f aca="false">COUNTIF(F8:F143,"Skipped")</f>
        <v>0</v>
      </c>
      <c r="F5" s="15" t="n">
        <f aca="false">COUNTA(A8:A143)</f>
        <v>28</v>
      </c>
    </row>
    <row r="7" customFormat="false" ht="31.5" hidden="false" customHeight="true" outlineLevel="0" collapsed="false">
      <c r="A7" s="7" t="s">
        <v>171</v>
      </c>
      <c r="B7" s="7" t="s">
        <v>172</v>
      </c>
      <c r="C7" s="7" t="s">
        <v>173</v>
      </c>
      <c r="D7" s="7" t="s">
        <v>174</v>
      </c>
      <c r="E7" s="7" t="s">
        <v>175</v>
      </c>
      <c r="F7" s="7" t="s">
        <v>176</v>
      </c>
      <c r="G7" s="7" t="s">
        <v>177</v>
      </c>
      <c r="H7" s="7" t="s">
        <v>178</v>
      </c>
    </row>
    <row r="8" customFormat="false" ht="75" hidden="false" customHeight="true" outlineLevel="0" collapsed="false">
      <c r="A8" s="16" t="s">
        <v>179</v>
      </c>
      <c r="B8" s="17" t="s">
        <v>180</v>
      </c>
      <c r="C8" s="17" t="s">
        <v>181</v>
      </c>
      <c r="D8" s="17" t="s">
        <v>182</v>
      </c>
      <c r="E8" s="17" t="s">
        <v>183</v>
      </c>
      <c r="F8" s="16" t="s">
        <v>167</v>
      </c>
      <c r="G8" s="18"/>
      <c r="H8" s="17" t="s">
        <v>184</v>
      </c>
    </row>
    <row r="9" customFormat="false" ht="142.5" hidden="false" customHeight="true" outlineLevel="0" collapsed="false">
      <c r="A9" s="16" t="s">
        <v>185</v>
      </c>
      <c r="B9" s="17" t="s">
        <v>186</v>
      </c>
      <c r="C9" s="17" t="s">
        <v>187</v>
      </c>
      <c r="D9" s="17" t="s">
        <v>188</v>
      </c>
      <c r="E9" s="17" t="s">
        <v>189</v>
      </c>
      <c r="F9" s="16" t="s">
        <v>167</v>
      </c>
      <c r="G9" s="18"/>
      <c r="H9" s="17" t="s">
        <v>190</v>
      </c>
    </row>
    <row r="10" customFormat="false" ht="88.5" hidden="false" customHeight="true" outlineLevel="0" collapsed="false">
      <c r="A10" s="16" t="s">
        <v>191</v>
      </c>
      <c r="B10" s="17" t="s">
        <v>192</v>
      </c>
      <c r="C10" s="17" t="s">
        <v>193</v>
      </c>
      <c r="D10" s="17" t="s">
        <v>194</v>
      </c>
      <c r="E10" s="17" t="s">
        <v>189</v>
      </c>
      <c r="F10" s="16" t="s">
        <v>167</v>
      </c>
      <c r="G10" s="18"/>
      <c r="H10" s="17" t="s">
        <v>195</v>
      </c>
    </row>
    <row r="11" customFormat="false" ht="115.5" hidden="false" customHeight="true" outlineLevel="0" collapsed="false">
      <c r="A11" s="16" t="s">
        <v>196</v>
      </c>
      <c r="B11" s="17" t="s">
        <v>197</v>
      </c>
      <c r="C11" s="17" t="s">
        <v>198</v>
      </c>
      <c r="D11" s="17" t="s">
        <v>199</v>
      </c>
      <c r="E11" s="17" t="s">
        <v>189</v>
      </c>
      <c r="F11" s="16" t="s">
        <v>167</v>
      </c>
      <c r="G11" s="18"/>
      <c r="H11" s="17" t="s">
        <v>200</v>
      </c>
    </row>
    <row r="12" customFormat="false" ht="115.5" hidden="false" customHeight="true" outlineLevel="0" collapsed="false">
      <c r="A12" s="16" t="s">
        <v>201</v>
      </c>
      <c r="B12" s="17" t="s">
        <v>202</v>
      </c>
      <c r="C12" s="17" t="s">
        <v>203</v>
      </c>
      <c r="D12" s="17" t="s">
        <v>204</v>
      </c>
      <c r="E12" s="17" t="s">
        <v>189</v>
      </c>
      <c r="F12" s="16" t="s">
        <v>167</v>
      </c>
      <c r="G12" s="18"/>
      <c r="H12" s="17" t="s">
        <v>205</v>
      </c>
    </row>
    <row r="13" customFormat="false" ht="75" hidden="false" customHeight="true" outlineLevel="0" collapsed="false">
      <c r="A13" s="16" t="s">
        <v>206</v>
      </c>
      <c r="B13" s="17" t="s">
        <v>207</v>
      </c>
      <c r="C13" s="17" t="s">
        <v>208</v>
      </c>
      <c r="D13" s="17" t="s">
        <v>209</v>
      </c>
      <c r="E13" s="17" t="s">
        <v>189</v>
      </c>
      <c r="F13" s="16" t="s">
        <v>167</v>
      </c>
      <c r="G13" s="18"/>
      <c r="H13" s="17" t="s">
        <v>210</v>
      </c>
    </row>
    <row r="14" customFormat="false" ht="102" hidden="false" customHeight="true" outlineLevel="0" collapsed="false">
      <c r="A14" s="16" t="s">
        <v>211</v>
      </c>
      <c r="B14" s="17" t="s">
        <v>212</v>
      </c>
      <c r="C14" s="19" t="s">
        <v>213</v>
      </c>
      <c r="D14" s="17" t="s">
        <v>214</v>
      </c>
      <c r="E14" s="17" t="s">
        <v>215</v>
      </c>
      <c r="F14" s="16" t="s">
        <v>167</v>
      </c>
      <c r="G14" s="18"/>
      <c r="H14" s="17" t="s">
        <v>216</v>
      </c>
    </row>
    <row r="15" customFormat="false" ht="129" hidden="false" customHeight="true" outlineLevel="0" collapsed="false">
      <c r="A15" s="16" t="s">
        <v>217</v>
      </c>
      <c r="B15" s="17" t="s">
        <v>218</v>
      </c>
      <c r="C15" s="17" t="s">
        <v>219</v>
      </c>
      <c r="D15" s="17" t="s">
        <v>220</v>
      </c>
      <c r="E15" s="17" t="s">
        <v>189</v>
      </c>
      <c r="F15" s="16" t="s">
        <v>167</v>
      </c>
      <c r="G15" s="18"/>
      <c r="H15" s="17" t="s">
        <v>221</v>
      </c>
    </row>
    <row r="16" customFormat="false" ht="88.5" hidden="false" customHeight="true" outlineLevel="0" collapsed="false">
      <c r="A16" s="16" t="s">
        <v>222</v>
      </c>
      <c r="B16" s="17" t="s">
        <v>223</v>
      </c>
      <c r="C16" s="17" t="s">
        <v>224</v>
      </c>
      <c r="D16" s="17" t="s">
        <v>225</v>
      </c>
      <c r="E16" s="17" t="s">
        <v>189</v>
      </c>
      <c r="F16" s="16" t="s">
        <v>167</v>
      </c>
      <c r="G16" s="18"/>
      <c r="H16" s="17" t="s">
        <v>226</v>
      </c>
    </row>
    <row r="17" customFormat="false" ht="75" hidden="false" customHeight="true" outlineLevel="0" collapsed="false">
      <c r="A17" s="16" t="s">
        <v>227</v>
      </c>
      <c r="B17" s="17" t="s">
        <v>228</v>
      </c>
      <c r="C17" s="17" t="s">
        <v>229</v>
      </c>
      <c r="D17" s="17" t="s">
        <v>230</v>
      </c>
      <c r="E17" s="17" t="s">
        <v>189</v>
      </c>
      <c r="F17" s="16" t="s">
        <v>167</v>
      </c>
      <c r="G17" s="18"/>
      <c r="H17" s="17" t="s">
        <v>231</v>
      </c>
    </row>
    <row r="18" customFormat="false" ht="88.5" hidden="false" customHeight="true" outlineLevel="0" collapsed="false">
      <c r="A18" s="16" t="s">
        <v>232</v>
      </c>
      <c r="B18" s="17" t="s">
        <v>233</v>
      </c>
      <c r="C18" s="17" t="s">
        <v>234</v>
      </c>
      <c r="D18" s="17" t="s">
        <v>235</v>
      </c>
      <c r="E18" s="17" t="s">
        <v>189</v>
      </c>
      <c r="F18" s="16" t="s">
        <v>167</v>
      </c>
      <c r="G18" s="18"/>
      <c r="H18" s="17" t="s">
        <v>236</v>
      </c>
    </row>
    <row r="19" customFormat="false" ht="88.5" hidden="false" customHeight="true" outlineLevel="0" collapsed="false">
      <c r="A19" s="16" t="s">
        <v>237</v>
      </c>
      <c r="B19" s="17" t="s">
        <v>238</v>
      </c>
      <c r="C19" s="17" t="s">
        <v>239</v>
      </c>
      <c r="D19" s="17" t="s">
        <v>240</v>
      </c>
      <c r="E19" s="17" t="s">
        <v>189</v>
      </c>
      <c r="F19" s="16" t="s">
        <v>167</v>
      </c>
      <c r="G19" s="18"/>
      <c r="H19" s="17" t="s">
        <v>241</v>
      </c>
    </row>
    <row r="20" customFormat="false" ht="88.5" hidden="false" customHeight="true" outlineLevel="0" collapsed="false">
      <c r="A20" s="16" t="s">
        <v>242</v>
      </c>
      <c r="B20" s="17" t="s">
        <v>243</v>
      </c>
      <c r="C20" s="17" t="s">
        <v>244</v>
      </c>
      <c r="D20" s="17" t="s">
        <v>245</v>
      </c>
      <c r="E20" s="17" t="s">
        <v>189</v>
      </c>
      <c r="F20" s="16" t="s">
        <v>167</v>
      </c>
      <c r="G20" s="18"/>
      <c r="H20" s="17" t="s">
        <v>246</v>
      </c>
    </row>
    <row r="21" customFormat="false" ht="61.5" hidden="false" customHeight="true" outlineLevel="0" collapsed="false">
      <c r="A21" s="16" t="s">
        <v>247</v>
      </c>
      <c r="B21" s="17" t="s">
        <v>248</v>
      </c>
      <c r="C21" s="17" t="s">
        <v>249</v>
      </c>
      <c r="D21" s="17" t="s">
        <v>250</v>
      </c>
      <c r="E21" s="17" t="s">
        <v>189</v>
      </c>
      <c r="F21" s="16" t="s">
        <v>167</v>
      </c>
      <c r="G21" s="18"/>
      <c r="H21" s="17" t="s">
        <v>251</v>
      </c>
    </row>
    <row r="22" customFormat="false" ht="115.5" hidden="false" customHeight="true" outlineLevel="0" collapsed="false">
      <c r="A22" s="16" t="s">
        <v>252</v>
      </c>
      <c r="B22" s="17" t="s">
        <v>253</v>
      </c>
      <c r="C22" s="17" t="s">
        <v>254</v>
      </c>
      <c r="D22" s="17" t="s">
        <v>255</v>
      </c>
      <c r="E22" s="17" t="s">
        <v>189</v>
      </c>
      <c r="F22" s="16" t="s">
        <v>167</v>
      </c>
      <c r="G22" s="18"/>
      <c r="H22" s="17" t="s">
        <v>256</v>
      </c>
    </row>
    <row r="23" customFormat="false" ht="183" hidden="false" customHeight="true" outlineLevel="0" collapsed="false">
      <c r="A23" s="16" t="s">
        <v>257</v>
      </c>
      <c r="B23" s="17" t="s">
        <v>258</v>
      </c>
      <c r="C23" s="17" t="s">
        <v>259</v>
      </c>
      <c r="D23" s="17" t="s">
        <v>260</v>
      </c>
      <c r="E23" s="17" t="s">
        <v>189</v>
      </c>
      <c r="F23" s="16" t="s">
        <v>167</v>
      </c>
      <c r="G23" s="18"/>
      <c r="H23" s="17" t="s">
        <v>261</v>
      </c>
    </row>
    <row r="24" customFormat="false" ht="88.5" hidden="false" customHeight="true" outlineLevel="0" collapsed="false">
      <c r="A24" s="16" t="s">
        <v>262</v>
      </c>
      <c r="B24" s="17" t="s">
        <v>263</v>
      </c>
      <c r="C24" s="17" t="s">
        <v>264</v>
      </c>
      <c r="D24" s="17" t="s">
        <v>265</v>
      </c>
      <c r="E24" s="17" t="s">
        <v>189</v>
      </c>
      <c r="F24" s="16" t="s">
        <v>167</v>
      </c>
      <c r="G24" s="18"/>
      <c r="H24" s="17" t="s">
        <v>266</v>
      </c>
    </row>
    <row r="25" customFormat="false" ht="102" hidden="false" customHeight="true" outlineLevel="0" collapsed="false">
      <c r="A25" s="16" t="s">
        <v>267</v>
      </c>
      <c r="B25" s="17" t="s">
        <v>268</v>
      </c>
      <c r="C25" s="17" t="s">
        <v>269</v>
      </c>
      <c r="D25" s="17" t="s">
        <v>270</v>
      </c>
      <c r="E25" s="17" t="s">
        <v>189</v>
      </c>
      <c r="F25" s="16" t="s">
        <v>167</v>
      </c>
      <c r="G25" s="18"/>
      <c r="H25" s="17" t="s">
        <v>271</v>
      </c>
    </row>
    <row r="26" customFormat="false" ht="115.5" hidden="false" customHeight="true" outlineLevel="0" collapsed="false">
      <c r="A26" s="16" t="s">
        <v>272</v>
      </c>
      <c r="B26" s="17" t="s">
        <v>273</v>
      </c>
      <c r="C26" s="17" t="s">
        <v>274</v>
      </c>
      <c r="D26" s="17" t="s">
        <v>275</v>
      </c>
      <c r="E26" s="17" t="s">
        <v>189</v>
      </c>
      <c r="F26" s="16" t="s">
        <v>167</v>
      </c>
      <c r="G26" s="18"/>
      <c r="H26" s="17" t="s">
        <v>276</v>
      </c>
    </row>
    <row r="27" customFormat="false" ht="88.5" hidden="false" customHeight="true" outlineLevel="0" collapsed="false">
      <c r="A27" s="16" t="s">
        <v>277</v>
      </c>
      <c r="B27" s="17" t="s">
        <v>278</v>
      </c>
      <c r="C27" s="17" t="s">
        <v>279</v>
      </c>
      <c r="D27" s="17" t="s">
        <v>280</v>
      </c>
      <c r="E27" s="17" t="s">
        <v>189</v>
      </c>
      <c r="F27" s="16" t="s">
        <v>167</v>
      </c>
      <c r="G27" s="18"/>
      <c r="H27" s="17" t="s">
        <v>281</v>
      </c>
    </row>
    <row r="28" customFormat="false" ht="61.5" hidden="false" customHeight="true" outlineLevel="0" collapsed="false">
      <c r="A28" s="16" t="s">
        <v>282</v>
      </c>
      <c r="B28" s="17" t="s">
        <v>283</v>
      </c>
      <c r="C28" s="17" t="s">
        <v>284</v>
      </c>
      <c r="D28" s="17" t="s">
        <v>285</v>
      </c>
      <c r="E28" s="17" t="s">
        <v>189</v>
      </c>
      <c r="F28" s="16" t="s">
        <v>167</v>
      </c>
      <c r="G28" s="18"/>
      <c r="H28" s="17" t="s">
        <v>286</v>
      </c>
    </row>
    <row r="29" customFormat="false" ht="102" hidden="false" customHeight="true" outlineLevel="0" collapsed="false">
      <c r="A29" s="16" t="s">
        <v>287</v>
      </c>
      <c r="B29" s="17" t="s">
        <v>288</v>
      </c>
      <c r="C29" s="17" t="s">
        <v>289</v>
      </c>
      <c r="D29" s="17" t="s">
        <v>290</v>
      </c>
      <c r="E29" s="17" t="s">
        <v>291</v>
      </c>
      <c r="F29" s="16" t="s">
        <v>167</v>
      </c>
      <c r="G29" s="18"/>
      <c r="H29" s="17" t="s">
        <v>292</v>
      </c>
    </row>
    <row r="30" customFormat="false" ht="115.5" hidden="false" customHeight="true" outlineLevel="0" collapsed="false">
      <c r="A30" s="16" t="s">
        <v>293</v>
      </c>
      <c r="B30" s="17" t="s">
        <v>294</v>
      </c>
      <c r="C30" s="17" t="s">
        <v>295</v>
      </c>
      <c r="D30" s="17" t="s">
        <v>296</v>
      </c>
      <c r="E30" s="17" t="s">
        <v>291</v>
      </c>
      <c r="F30" s="16" t="s">
        <v>167</v>
      </c>
      <c r="G30" s="18"/>
      <c r="H30" s="17" t="s">
        <v>297</v>
      </c>
    </row>
    <row r="31" customFormat="false" ht="75" hidden="false" customHeight="true" outlineLevel="0" collapsed="false">
      <c r="A31" s="16" t="s">
        <v>298</v>
      </c>
      <c r="B31" s="17" t="s">
        <v>299</v>
      </c>
      <c r="C31" s="17" t="s">
        <v>300</v>
      </c>
      <c r="D31" s="17" t="s">
        <v>301</v>
      </c>
      <c r="E31" s="17" t="s">
        <v>291</v>
      </c>
      <c r="F31" s="16" t="s">
        <v>167</v>
      </c>
      <c r="G31" s="18"/>
      <c r="H31" s="17" t="s">
        <v>302</v>
      </c>
    </row>
    <row r="32" customFormat="false" ht="115.5" hidden="false" customHeight="true" outlineLevel="0" collapsed="false">
      <c r="A32" s="16" t="s">
        <v>303</v>
      </c>
      <c r="B32" s="17" t="s">
        <v>304</v>
      </c>
      <c r="C32" s="17" t="s">
        <v>305</v>
      </c>
      <c r="D32" s="17" t="s">
        <v>306</v>
      </c>
      <c r="E32" s="17" t="s">
        <v>189</v>
      </c>
      <c r="F32" s="16" t="s">
        <v>167</v>
      </c>
      <c r="G32" s="18"/>
      <c r="H32" s="17" t="s">
        <v>307</v>
      </c>
    </row>
    <row r="33" customFormat="false" ht="102" hidden="false" customHeight="true" outlineLevel="0" collapsed="false">
      <c r="A33" s="16" t="s">
        <v>308</v>
      </c>
      <c r="B33" s="17" t="s">
        <v>309</v>
      </c>
      <c r="C33" s="17" t="s">
        <v>310</v>
      </c>
      <c r="D33" s="17" t="s">
        <v>311</v>
      </c>
      <c r="E33" s="17" t="s">
        <v>189</v>
      </c>
      <c r="F33" s="16" t="s">
        <v>167</v>
      </c>
      <c r="G33" s="18"/>
      <c r="H33" s="17" t="s">
        <v>312</v>
      </c>
    </row>
    <row r="34" customFormat="false" ht="115.5" hidden="false" customHeight="true" outlineLevel="0" collapsed="false">
      <c r="A34" s="16" t="s">
        <v>313</v>
      </c>
      <c r="B34" s="17" t="s">
        <v>314</v>
      </c>
      <c r="C34" s="17" t="s">
        <v>315</v>
      </c>
      <c r="D34" s="17" t="s">
        <v>316</v>
      </c>
      <c r="E34" s="17" t="s">
        <v>317</v>
      </c>
      <c r="F34" s="16" t="s">
        <v>167</v>
      </c>
      <c r="G34" s="18"/>
      <c r="H34" s="17" t="s">
        <v>318</v>
      </c>
    </row>
    <row r="35" customFormat="false" ht="102" hidden="false" customHeight="true" outlineLevel="0" collapsed="false">
      <c r="A35" s="16" t="s">
        <v>319</v>
      </c>
      <c r="B35" s="17" t="s">
        <v>320</v>
      </c>
      <c r="C35" s="17" t="s">
        <v>321</v>
      </c>
      <c r="D35" s="17" t="s">
        <v>322</v>
      </c>
      <c r="E35" s="17" t="s">
        <v>189</v>
      </c>
      <c r="F35" s="16" t="s">
        <v>167</v>
      </c>
      <c r="G35" s="18"/>
      <c r="H35" s="17" t="s">
        <v>323</v>
      </c>
    </row>
    <row r="36" customFormat="false" ht="15" hidden="false" customHeight="false" outlineLevel="0" collapsed="false">
      <c r="A36" s="10"/>
      <c r="B36" s="10"/>
      <c r="C36" s="10"/>
      <c r="D36" s="10"/>
      <c r="E36" s="10"/>
      <c r="F36" s="10"/>
      <c r="G36" s="10"/>
      <c r="H36" s="10"/>
    </row>
    <row r="37" customFormat="false" ht="15" hidden="false" customHeight="false" outlineLevel="0" collapsed="false">
      <c r="A37" s="10"/>
      <c r="B37" s="10"/>
      <c r="C37" s="10"/>
      <c r="D37" s="10"/>
      <c r="E37" s="10"/>
      <c r="F37" s="10"/>
      <c r="G37" s="10"/>
      <c r="H37" s="10"/>
    </row>
    <row r="38" customFormat="false" ht="15" hidden="false" customHeight="false" outlineLevel="0" collapsed="false">
      <c r="A38" s="10"/>
      <c r="B38" s="10"/>
      <c r="C38" s="10"/>
      <c r="D38" s="10"/>
      <c r="E38" s="10"/>
      <c r="F38" s="10"/>
      <c r="G38" s="10"/>
      <c r="H38" s="10"/>
    </row>
    <row r="39" customFormat="false" ht="15" hidden="false" customHeight="false" outlineLevel="0" collapsed="false">
      <c r="A39" s="10"/>
      <c r="B39" s="10"/>
      <c r="C39" s="10"/>
      <c r="D39" s="10"/>
      <c r="E39" s="10"/>
      <c r="F39" s="10"/>
      <c r="G39" s="10"/>
      <c r="H39" s="10"/>
    </row>
    <row r="40" customFormat="false" ht="15" hidden="false" customHeight="false" outlineLevel="0" collapsed="false">
      <c r="A40" s="10"/>
      <c r="B40" s="10"/>
      <c r="C40" s="10"/>
      <c r="D40" s="10"/>
      <c r="E40" s="10"/>
      <c r="F40" s="10"/>
      <c r="G40" s="10"/>
      <c r="H40" s="10"/>
    </row>
    <row r="41" customFormat="false" ht="15" hidden="false" customHeight="false" outlineLevel="0" collapsed="false">
      <c r="A41" s="10"/>
      <c r="B41" s="10"/>
      <c r="C41" s="10"/>
      <c r="D41" s="10"/>
      <c r="E41" s="10"/>
      <c r="F41" s="10"/>
      <c r="G41" s="10"/>
      <c r="H41" s="10"/>
    </row>
    <row r="42" customFormat="false" ht="15" hidden="false" customHeight="false" outlineLevel="0" collapsed="false">
      <c r="A42" s="10"/>
      <c r="B42" s="10"/>
      <c r="C42" s="10"/>
      <c r="D42" s="10"/>
      <c r="E42" s="10"/>
      <c r="F42" s="10"/>
      <c r="G42" s="10"/>
      <c r="H42" s="10"/>
    </row>
    <row r="43" customFormat="false" ht="15" hidden="false" customHeight="false" outlineLevel="0" collapsed="false">
      <c r="A43" s="10"/>
      <c r="B43" s="10"/>
      <c r="C43" s="10"/>
      <c r="D43" s="10"/>
      <c r="E43" s="10"/>
      <c r="F43" s="10"/>
      <c r="G43" s="10"/>
      <c r="H43" s="10"/>
    </row>
    <row r="44" customFormat="false" ht="15" hidden="false" customHeight="false" outlineLevel="0" collapsed="false">
      <c r="A44" s="10"/>
      <c r="B44" s="10"/>
      <c r="C44" s="10"/>
      <c r="D44" s="10"/>
      <c r="E44" s="10"/>
      <c r="F44" s="10"/>
      <c r="G44" s="10"/>
      <c r="H44" s="10"/>
    </row>
    <row r="45" customFormat="false" ht="15" hidden="false" customHeight="false" outlineLevel="0" collapsed="false">
      <c r="A45" s="10"/>
      <c r="B45" s="10"/>
      <c r="C45" s="10"/>
      <c r="D45" s="10"/>
      <c r="E45" s="10"/>
      <c r="F45" s="10"/>
      <c r="G45" s="10"/>
      <c r="H45" s="10"/>
    </row>
    <row r="46" customFormat="false" ht="15" hidden="false" customHeight="false" outlineLevel="0" collapsed="false">
      <c r="A46" s="10"/>
      <c r="B46" s="10"/>
      <c r="C46" s="10"/>
      <c r="D46" s="10"/>
      <c r="E46" s="10"/>
      <c r="F46" s="10"/>
      <c r="G46" s="10"/>
      <c r="H46" s="10"/>
    </row>
    <row r="47" customFormat="false" ht="15" hidden="false" customHeight="false" outlineLevel="0" collapsed="false">
      <c r="A47" s="10"/>
      <c r="B47" s="10"/>
      <c r="C47" s="10"/>
      <c r="D47" s="10"/>
      <c r="E47" s="10"/>
      <c r="F47" s="10"/>
      <c r="G47" s="10"/>
      <c r="H47" s="10"/>
    </row>
    <row r="48" customFormat="false" ht="15" hidden="false" customHeight="false" outlineLevel="0" collapsed="false">
      <c r="A48" s="10"/>
      <c r="B48" s="10"/>
      <c r="C48" s="10"/>
      <c r="D48" s="10"/>
      <c r="E48" s="10"/>
      <c r="F48" s="10"/>
      <c r="G48" s="10"/>
      <c r="H48" s="10"/>
    </row>
    <row r="49" customFormat="false" ht="15" hidden="false" customHeight="false" outlineLevel="0" collapsed="false">
      <c r="A49" s="10"/>
      <c r="B49" s="10"/>
      <c r="C49" s="10"/>
      <c r="D49" s="10"/>
      <c r="E49" s="10"/>
      <c r="F49" s="10"/>
      <c r="G49" s="10"/>
      <c r="H49" s="10"/>
    </row>
    <row r="50" customFormat="false" ht="15" hidden="false" customHeight="false" outlineLevel="0" collapsed="false">
      <c r="A50" s="10"/>
      <c r="B50" s="10"/>
      <c r="C50" s="10"/>
      <c r="D50" s="10"/>
      <c r="E50" s="10"/>
      <c r="F50" s="10"/>
      <c r="G50" s="10"/>
      <c r="H50" s="10"/>
    </row>
    <row r="51" customFormat="false" ht="15" hidden="false" customHeight="false" outlineLevel="0" collapsed="false">
      <c r="A51" s="10"/>
      <c r="B51" s="10"/>
      <c r="C51" s="10"/>
      <c r="D51" s="10"/>
      <c r="E51" s="10"/>
      <c r="F51" s="10"/>
      <c r="G51" s="10"/>
      <c r="H51" s="10"/>
    </row>
    <row r="52" customFormat="false" ht="15" hidden="false" customHeight="false" outlineLevel="0" collapsed="false">
      <c r="A52" s="10"/>
      <c r="B52" s="10"/>
      <c r="C52" s="10"/>
      <c r="D52" s="10"/>
      <c r="E52" s="10"/>
      <c r="F52" s="10"/>
      <c r="G52" s="10"/>
      <c r="H52" s="10"/>
    </row>
    <row r="53" customFormat="false" ht="15" hidden="false" customHeight="false" outlineLevel="0" collapsed="false">
      <c r="A53" s="10"/>
      <c r="B53" s="10"/>
      <c r="C53" s="10"/>
      <c r="D53" s="10"/>
      <c r="E53" s="10"/>
      <c r="F53" s="10"/>
      <c r="G53" s="10"/>
      <c r="H53" s="10"/>
    </row>
    <row r="54" customFormat="false" ht="15" hidden="false" customHeight="false" outlineLevel="0" collapsed="false">
      <c r="A54" s="10"/>
      <c r="B54" s="10"/>
      <c r="C54" s="10"/>
      <c r="D54" s="10"/>
      <c r="E54" s="10"/>
      <c r="F54" s="10"/>
      <c r="G54" s="10"/>
      <c r="H54" s="10"/>
    </row>
    <row r="55" customFormat="false" ht="15" hidden="false" customHeight="false" outlineLevel="0" collapsed="false">
      <c r="A55" s="10"/>
      <c r="B55" s="10"/>
      <c r="C55" s="10"/>
      <c r="D55" s="10"/>
      <c r="E55" s="10"/>
      <c r="F55" s="10"/>
      <c r="G55" s="10"/>
      <c r="H55" s="10"/>
    </row>
    <row r="56" customFormat="false" ht="15" hidden="false" customHeight="false" outlineLevel="0" collapsed="false">
      <c r="A56" s="10"/>
      <c r="B56" s="10"/>
      <c r="C56" s="10"/>
      <c r="D56" s="10"/>
      <c r="E56" s="10"/>
      <c r="F56" s="10"/>
      <c r="G56" s="10"/>
      <c r="H56" s="10"/>
    </row>
    <row r="57" customFormat="false" ht="15" hidden="false" customHeight="false" outlineLevel="0" collapsed="false">
      <c r="A57" s="10"/>
      <c r="B57" s="10"/>
      <c r="C57" s="10"/>
      <c r="D57" s="10"/>
      <c r="E57" s="10"/>
      <c r="F57" s="10"/>
      <c r="G57" s="10"/>
      <c r="H57" s="10"/>
    </row>
    <row r="58" customFormat="false" ht="15" hidden="false" customHeight="false" outlineLevel="0" collapsed="false">
      <c r="A58" s="10"/>
      <c r="B58" s="10"/>
      <c r="C58" s="10"/>
      <c r="D58" s="10"/>
      <c r="E58" s="10"/>
      <c r="F58" s="10"/>
      <c r="G58" s="10"/>
      <c r="H58" s="10"/>
    </row>
    <row r="59" customFormat="false" ht="15" hidden="false" customHeight="false" outlineLevel="0" collapsed="false">
      <c r="A59" s="10"/>
      <c r="B59" s="10"/>
      <c r="C59" s="10"/>
      <c r="D59" s="10"/>
      <c r="E59" s="10"/>
      <c r="F59" s="10"/>
      <c r="G59" s="10"/>
      <c r="H59" s="10"/>
    </row>
    <row r="60" customFormat="false" ht="15" hidden="false" customHeight="false" outlineLevel="0" collapsed="false">
      <c r="A60" s="10"/>
      <c r="B60" s="10"/>
      <c r="C60" s="10"/>
      <c r="D60" s="10"/>
      <c r="E60" s="10"/>
      <c r="F60" s="10"/>
      <c r="G60" s="10"/>
      <c r="H60" s="10"/>
    </row>
    <row r="61" customFormat="false" ht="15" hidden="false" customHeight="false" outlineLevel="0" collapsed="false">
      <c r="A61" s="10"/>
      <c r="B61" s="10"/>
      <c r="C61" s="10"/>
      <c r="D61" s="10"/>
      <c r="E61" s="10"/>
      <c r="F61" s="10"/>
      <c r="G61" s="10"/>
      <c r="H61" s="10"/>
    </row>
    <row r="62" customFormat="false" ht="15" hidden="false" customHeight="false" outlineLevel="0" collapsed="false">
      <c r="A62" s="10"/>
      <c r="B62" s="10"/>
      <c r="C62" s="10"/>
      <c r="D62" s="10"/>
      <c r="E62" s="10"/>
      <c r="F62" s="10"/>
      <c r="G62" s="10"/>
      <c r="H62" s="10"/>
    </row>
    <row r="63" customFormat="false" ht="15" hidden="false" customHeight="false" outlineLevel="0" collapsed="false">
      <c r="A63" s="10"/>
      <c r="B63" s="10"/>
      <c r="C63" s="10"/>
      <c r="D63" s="10"/>
      <c r="E63" s="10"/>
      <c r="F63" s="10"/>
      <c r="G63" s="10"/>
      <c r="H63" s="10"/>
    </row>
    <row r="64" customFormat="false" ht="15" hidden="false" customHeight="false" outlineLevel="0" collapsed="false">
      <c r="A64" s="10"/>
      <c r="B64" s="10"/>
      <c r="C64" s="10"/>
      <c r="D64" s="10"/>
      <c r="E64" s="10"/>
      <c r="F64" s="10"/>
      <c r="G64" s="10"/>
      <c r="H64" s="10"/>
    </row>
    <row r="65" customFormat="false" ht="15" hidden="false" customHeight="false" outlineLevel="0" collapsed="false">
      <c r="A65" s="10"/>
      <c r="B65" s="10"/>
      <c r="C65" s="10"/>
      <c r="D65" s="10"/>
      <c r="E65" s="10"/>
      <c r="F65" s="10"/>
      <c r="G65" s="10"/>
      <c r="H65" s="10"/>
    </row>
    <row r="66" customFormat="false" ht="15" hidden="false" customHeight="false" outlineLevel="0" collapsed="false">
      <c r="A66" s="10"/>
      <c r="B66" s="10"/>
      <c r="C66" s="10"/>
      <c r="D66" s="10"/>
      <c r="E66" s="10"/>
      <c r="F66" s="10"/>
      <c r="G66" s="10"/>
      <c r="H66" s="10"/>
    </row>
    <row r="67" customFormat="false" ht="15" hidden="false" customHeight="false" outlineLevel="0" collapsed="false">
      <c r="A67" s="10"/>
      <c r="B67" s="10"/>
      <c r="C67" s="10"/>
      <c r="D67" s="10"/>
      <c r="E67" s="10"/>
      <c r="F67" s="10"/>
      <c r="G67" s="10"/>
      <c r="H67" s="10"/>
    </row>
    <row r="68" customFormat="false" ht="15" hidden="false" customHeight="false" outlineLevel="0" collapsed="false">
      <c r="A68" s="10"/>
      <c r="B68" s="10"/>
      <c r="C68" s="10"/>
      <c r="D68" s="10"/>
      <c r="E68" s="10"/>
      <c r="F68" s="10"/>
      <c r="G68" s="10"/>
      <c r="H68" s="10"/>
    </row>
    <row r="69" customFormat="false" ht="15" hidden="false" customHeight="false" outlineLevel="0" collapsed="false">
      <c r="A69" s="10"/>
      <c r="B69" s="10"/>
      <c r="C69" s="10"/>
      <c r="D69" s="10"/>
      <c r="E69" s="10"/>
      <c r="F69" s="10"/>
      <c r="G69" s="10"/>
      <c r="H69" s="10"/>
    </row>
    <row r="70" customFormat="false" ht="15" hidden="false" customHeight="false" outlineLevel="0" collapsed="false">
      <c r="A70" s="10"/>
      <c r="B70" s="10"/>
      <c r="C70" s="10"/>
      <c r="D70" s="10"/>
      <c r="E70" s="10"/>
      <c r="F70" s="10"/>
      <c r="G70" s="10"/>
      <c r="H70" s="10"/>
    </row>
    <row r="71" customFormat="false" ht="15" hidden="false" customHeight="false" outlineLevel="0" collapsed="false">
      <c r="A71" s="10"/>
      <c r="B71" s="10"/>
      <c r="C71" s="10"/>
      <c r="D71" s="10"/>
      <c r="E71" s="10"/>
      <c r="F71" s="10"/>
      <c r="G71" s="10"/>
      <c r="H71" s="10"/>
    </row>
    <row r="72" customFormat="false" ht="15" hidden="false" customHeight="false" outlineLevel="0" collapsed="false">
      <c r="A72" s="10"/>
      <c r="B72" s="10"/>
      <c r="C72" s="10"/>
      <c r="D72" s="10"/>
      <c r="E72" s="10"/>
      <c r="F72" s="10"/>
      <c r="G72" s="10"/>
      <c r="H72" s="10"/>
    </row>
    <row r="73" customFormat="false" ht="15" hidden="false" customHeight="false" outlineLevel="0" collapsed="false">
      <c r="A73" s="10"/>
      <c r="B73" s="10"/>
      <c r="C73" s="10"/>
      <c r="D73" s="10"/>
      <c r="E73" s="10"/>
      <c r="F73" s="10"/>
      <c r="G73" s="10"/>
      <c r="H73" s="10"/>
    </row>
    <row r="74" customFormat="false" ht="15" hidden="false" customHeight="false" outlineLevel="0" collapsed="false">
      <c r="A74" s="10"/>
      <c r="B74" s="10"/>
      <c r="C74" s="10"/>
      <c r="D74" s="10"/>
      <c r="E74" s="10"/>
      <c r="F74" s="10"/>
      <c r="G74" s="10"/>
      <c r="H74" s="10"/>
    </row>
    <row r="75" customFormat="false" ht="15" hidden="false" customHeight="false" outlineLevel="0" collapsed="false">
      <c r="A75" s="10"/>
      <c r="B75" s="10"/>
      <c r="C75" s="10"/>
      <c r="D75" s="10"/>
      <c r="E75" s="10"/>
      <c r="F75" s="10"/>
      <c r="G75" s="10"/>
      <c r="H75" s="10"/>
    </row>
    <row r="76" customFormat="false" ht="15" hidden="false" customHeight="false" outlineLevel="0" collapsed="false">
      <c r="A76" s="10"/>
      <c r="B76" s="10"/>
      <c r="C76" s="10"/>
      <c r="D76" s="10"/>
      <c r="E76" s="10"/>
      <c r="F76" s="10"/>
      <c r="G76" s="10"/>
      <c r="H76" s="10"/>
    </row>
    <row r="77" customFormat="false" ht="15" hidden="false" customHeight="false" outlineLevel="0" collapsed="false">
      <c r="A77" s="10"/>
      <c r="B77" s="10"/>
      <c r="C77" s="10"/>
      <c r="D77" s="10"/>
      <c r="E77" s="10"/>
      <c r="F77" s="10"/>
      <c r="G77" s="10"/>
      <c r="H77" s="10"/>
    </row>
    <row r="78" customFormat="false" ht="15" hidden="false" customHeight="false" outlineLevel="0" collapsed="false">
      <c r="A78" s="10"/>
      <c r="B78" s="10"/>
      <c r="C78" s="10"/>
      <c r="D78" s="10"/>
      <c r="E78" s="10"/>
      <c r="F78" s="10"/>
      <c r="G78" s="10"/>
      <c r="H78" s="10"/>
    </row>
    <row r="79" customFormat="false" ht="15" hidden="false" customHeight="false" outlineLevel="0" collapsed="false">
      <c r="A79" s="10"/>
      <c r="B79" s="10"/>
      <c r="C79" s="10"/>
      <c r="D79" s="10"/>
      <c r="E79" s="10"/>
      <c r="F79" s="10"/>
      <c r="G79" s="10"/>
      <c r="H79" s="10"/>
    </row>
    <row r="80" customFormat="false" ht="15" hidden="false" customHeight="false" outlineLevel="0" collapsed="false">
      <c r="A80" s="10"/>
      <c r="B80" s="10"/>
      <c r="C80" s="10"/>
      <c r="D80" s="10"/>
      <c r="E80" s="10"/>
      <c r="F80" s="10"/>
      <c r="G80" s="10"/>
      <c r="H80" s="10"/>
    </row>
    <row r="81" customFormat="false" ht="15" hidden="false" customHeight="false" outlineLevel="0" collapsed="false">
      <c r="A81" s="10"/>
      <c r="B81" s="10"/>
      <c r="C81" s="10"/>
      <c r="D81" s="10"/>
      <c r="E81" s="10"/>
      <c r="F81" s="10"/>
      <c r="G81" s="10"/>
      <c r="H81" s="10"/>
    </row>
    <row r="82" customFormat="false" ht="15" hidden="false" customHeight="false" outlineLevel="0" collapsed="false">
      <c r="A82" s="10"/>
      <c r="B82" s="10"/>
      <c r="C82" s="10"/>
      <c r="D82" s="10"/>
      <c r="E82" s="10"/>
      <c r="F82" s="10"/>
      <c r="G82" s="10"/>
      <c r="H82" s="10"/>
    </row>
    <row r="83" customFormat="false" ht="15" hidden="false" customHeight="false" outlineLevel="0" collapsed="false">
      <c r="A83" s="10"/>
      <c r="B83" s="10"/>
      <c r="C83" s="10"/>
      <c r="D83" s="10"/>
      <c r="E83" s="10"/>
      <c r="F83" s="10"/>
      <c r="G83" s="10"/>
      <c r="H83" s="10"/>
    </row>
    <row r="84" customFormat="false" ht="15" hidden="false" customHeight="false" outlineLevel="0" collapsed="false">
      <c r="A84" s="10"/>
      <c r="B84" s="10"/>
      <c r="C84" s="10"/>
      <c r="D84" s="10"/>
      <c r="E84" s="10"/>
      <c r="F84" s="10"/>
      <c r="G84" s="10"/>
      <c r="H84" s="10"/>
    </row>
    <row r="85" customFormat="false" ht="15" hidden="false" customHeight="false" outlineLevel="0" collapsed="false">
      <c r="A85" s="10"/>
      <c r="B85" s="10"/>
      <c r="C85" s="10"/>
      <c r="D85" s="10"/>
      <c r="E85" s="10"/>
      <c r="F85" s="10"/>
      <c r="G85" s="10"/>
      <c r="H85" s="10"/>
    </row>
    <row r="86" customFormat="false" ht="15" hidden="false" customHeight="false" outlineLevel="0" collapsed="false">
      <c r="A86" s="10"/>
      <c r="B86" s="10"/>
      <c r="C86" s="10"/>
      <c r="D86" s="10"/>
      <c r="E86" s="10"/>
      <c r="F86" s="10"/>
      <c r="G86" s="10"/>
      <c r="H86" s="10"/>
    </row>
    <row r="87" customFormat="false" ht="15" hidden="false" customHeight="false" outlineLevel="0" collapsed="false">
      <c r="A87" s="10"/>
      <c r="B87" s="10"/>
      <c r="C87" s="10"/>
      <c r="D87" s="10"/>
      <c r="E87" s="10"/>
      <c r="F87" s="10"/>
      <c r="G87" s="10"/>
      <c r="H87" s="10"/>
    </row>
    <row r="88" customFormat="false" ht="15" hidden="false" customHeight="false" outlineLevel="0" collapsed="false">
      <c r="A88" s="10"/>
      <c r="B88" s="10"/>
      <c r="C88" s="10"/>
      <c r="D88" s="10"/>
      <c r="E88" s="10"/>
      <c r="F88" s="10"/>
      <c r="G88" s="10"/>
      <c r="H88" s="10"/>
    </row>
    <row r="89" customFormat="false" ht="15" hidden="false" customHeight="false" outlineLevel="0" collapsed="false">
      <c r="A89" s="10"/>
      <c r="B89" s="10"/>
      <c r="C89" s="10"/>
      <c r="D89" s="10"/>
      <c r="E89" s="10"/>
      <c r="F89" s="10"/>
      <c r="G89" s="10"/>
      <c r="H89" s="10"/>
    </row>
    <row r="90" customFormat="false" ht="15" hidden="false" customHeight="false" outlineLevel="0" collapsed="false">
      <c r="A90" s="10"/>
      <c r="B90" s="10"/>
      <c r="C90" s="10"/>
      <c r="D90" s="10"/>
      <c r="E90" s="10"/>
      <c r="F90" s="10"/>
      <c r="G90" s="10"/>
      <c r="H90" s="10"/>
    </row>
    <row r="91" customFormat="false" ht="15" hidden="false" customHeight="false" outlineLevel="0" collapsed="false">
      <c r="A91" s="10"/>
      <c r="B91" s="10"/>
      <c r="C91" s="10"/>
      <c r="D91" s="10"/>
      <c r="E91" s="10"/>
      <c r="F91" s="10"/>
      <c r="G91" s="10"/>
      <c r="H91" s="10"/>
    </row>
    <row r="92" customFormat="false" ht="15" hidden="false" customHeight="false" outlineLevel="0" collapsed="false">
      <c r="A92" s="10"/>
      <c r="B92" s="10"/>
      <c r="C92" s="10"/>
      <c r="D92" s="10"/>
      <c r="E92" s="10"/>
      <c r="F92" s="10"/>
      <c r="G92" s="10"/>
      <c r="H92" s="10"/>
    </row>
    <row r="93" customFormat="false" ht="15" hidden="false" customHeight="false" outlineLevel="0" collapsed="false">
      <c r="A93" s="10"/>
      <c r="B93" s="10"/>
      <c r="C93" s="10"/>
      <c r="D93" s="10"/>
      <c r="E93" s="10"/>
      <c r="F93" s="10"/>
      <c r="G93" s="10"/>
      <c r="H93" s="10"/>
    </row>
    <row r="94" customFormat="false" ht="15" hidden="false" customHeight="false" outlineLevel="0" collapsed="false">
      <c r="A94" s="10"/>
      <c r="B94" s="10"/>
      <c r="C94" s="10"/>
      <c r="D94" s="10"/>
      <c r="E94" s="10"/>
      <c r="F94" s="10"/>
      <c r="G94" s="10"/>
      <c r="H94" s="10"/>
    </row>
    <row r="95" customFormat="false" ht="15" hidden="false" customHeight="false" outlineLevel="0" collapsed="false">
      <c r="A95" s="10"/>
      <c r="B95" s="10"/>
      <c r="C95" s="10"/>
      <c r="D95" s="10"/>
      <c r="E95" s="10"/>
      <c r="F95" s="10"/>
      <c r="G95" s="10"/>
      <c r="H95" s="10"/>
    </row>
    <row r="96" customFormat="false" ht="15" hidden="false" customHeight="false" outlineLevel="0" collapsed="false">
      <c r="A96" s="10"/>
      <c r="B96" s="10"/>
      <c r="C96" s="10"/>
      <c r="D96" s="10"/>
      <c r="E96" s="10"/>
      <c r="F96" s="10"/>
      <c r="G96" s="10"/>
      <c r="H96" s="10"/>
    </row>
    <row r="97" customFormat="false" ht="15" hidden="false" customHeight="false" outlineLevel="0" collapsed="false">
      <c r="A97" s="10"/>
      <c r="B97" s="10"/>
      <c r="C97" s="10"/>
      <c r="D97" s="10"/>
      <c r="E97" s="10"/>
      <c r="F97" s="10"/>
      <c r="G97" s="10"/>
      <c r="H97" s="10"/>
    </row>
    <row r="98" customFormat="false" ht="15" hidden="false" customHeight="false" outlineLevel="0" collapsed="false">
      <c r="A98" s="10"/>
      <c r="B98" s="10"/>
      <c r="C98" s="10"/>
      <c r="D98" s="10"/>
      <c r="E98" s="10"/>
      <c r="F98" s="10"/>
      <c r="G98" s="10"/>
      <c r="H98" s="10"/>
    </row>
    <row r="99" customFormat="false" ht="15" hidden="false" customHeight="false" outlineLevel="0" collapsed="false">
      <c r="A99" s="10"/>
      <c r="B99" s="10"/>
      <c r="C99" s="10"/>
      <c r="D99" s="10"/>
      <c r="E99" s="10"/>
      <c r="F99" s="10"/>
      <c r="G99" s="10"/>
      <c r="H99" s="10"/>
    </row>
    <row r="100" customFormat="false" ht="15" hidden="false" customHeight="false" outlineLevel="0" collapsed="false">
      <c r="A100" s="10"/>
      <c r="B100" s="10"/>
      <c r="C100" s="10"/>
      <c r="D100" s="10"/>
      <c r="E100" s="10"/>
      <c r="F100" s="10"/>
      <c r="G100" s="10"/>
      <c r="H100" s="10"/>
    </row>
    <row r="101" customFormat="false" ht="15" hidden="false" customHeight="false" outlineLevel="0" collapsed="false">
      <c r="A101" s="10"/>
      <c r="B101" s="10"/>
      <c r="C101" s="10"/>
      <c r="D101" s="10"/>
      <c r="E101" s="10"/>
      <c r="F101" s="10"/>
      <c r="G101" s="10"/>
      <c r="H101" s="10"/>
    </row>
    <row r="102" customFormat="false" ht="15" hidden="false" customHeight="false" outlineLevel="0" collapsed="false">
      <c r="A102" s="10"/>
      <c r="B102" s="10"/>
      <c r="C102" s="10"/>
      <c r="D102" s="10"/>
      <c r="E102" s="10"/>
      <c r="F102" s="10"/>
      <c r="G102" s="10"/>
      <c r="H102" s="10"/>
    </row>
    <row r="103" customFormat="false" ht="15" hidden="false" customHeight="false" outlineLevel="0" collapsed="false">
      <c r="A103" s="10"/>
      <c r="B103" s="10"/>
      <c r="C103" s="10"/>
      <c r="D103" s="10"/>
      <c r="E103" s="10"/>
      <c r="F103" s="10"/>
      <c r="G103" s="10"/>
      <c r="H103" s="10"/>
    </row>
    <row r="104" customFormat="false" ht="15" hidden="false" customHeight="false" outlineLevel="0" collapsed="false">
      <c r="A104" s="10"/>
      <c r="B104" s="10"/>
      <c r="C104" s="10"/>
      <c r="D104" s="10"/>
      <c r="E104" s="10"/>
      <c r="F104" s="10"/>
      <c r="G104" s="10"/>
      <c r="H104" s="10"/>
    </row>
    <row r="105" customFormat="false" ht="15" hidden="false" customHeight="false" outlineLevel="0" collapsed="false">
      <c r="A105" s="10"/>
      <c r="B105" s="10"/>
      <c r="C105" s="10"/>
      <c r="D105" s="10"/>
      <c r="E105" s="10"/>
      <c r="F105" s="10"/>
      <c r="G105" s="10"/>
      <c r="H105" s="10"/>
    </row>
    <row r="106" customFormat="false" ht="15" hidden="false" customHeight="false" outlineLevel="0" collapsed="false">
      <c r="A106" s="10"/>
      <c r="B106" s="10"/>
      <c r="C106" s="10"/>
      <c r="D106" s="10"/>
      <c r="E106" s="10"/>
      <c r="F106" s="10"/>
      <c r="G106" s="10"/>
      <c r="H106" s="10"/>
    </row>
    <row r="107" customFormat="false" ht="15" hidden="false" customHeight="false" outlineLevel="0" collapsed="false">
      <c r="A107" s="10"/>
      <c r="B107" s="10"/>
      <c r="C107" s="10"/>
      <c r="D107" s="10"/>
      <c r="E107" s="10"/>
      <c r="F107" s="10"/>
      <c r="G107" s="10"/>
      <c r="H107" s="10"/>
    </row>
    <row r="108" customFormat="false" ht="15" hidden="false" customHeight="false" outlineLevel="0" collapsed="false">
      <c r="A108" s="10"/>
      <c r="B108" s="10"/>
      <c r="C108" s="10"/>
      <c r="D108" s="10"/>
      <c r="E108" s="10"/>
      <c r="F108" s="10"/>
      <c r="G108" s="10"/>
      <c r="H108" s="10"/>
    </row>
    <row r="109" customFormat="false" ht="15" hidden="false" customHeight="false" outlineLevel="0" collapsed="false">
      <c r="A109" s="10"/>
      <c r="B109" s="10"/>
      <c r="C109" s="10"/>
      <c r="D109" s="10"/>
      <c r="E109" s="10"/>
      <c r="F109" s="10"/>
      <c r="G109" s="10"/>
      <c r="H109" s="10"/>
    </row>
    <row r="110" customFormat="false" ht="15" hidden="false" customHeight="false" outlineLevel="0" collapsed="false">
      <c r="A110" s="10"/>
      <c r="B110" s="10"/>
      <c r="C110" s="10"/>
      <c r="D110" s="10"/>
      <c r="E110" s="10"/>
      <c r="F110" s="10"/>
      <c r="G110" s="10"/>
      <c r="H110" s="10"/>
    </row>
    <row r="111" customFormat="false" ht="15" hidden="false" customHeight="false" outlineLevel="0" collapsed="false">
      <c r="A111" s="10"/>
      <c r="B111" s="10"/>
      <c r="C111" s="10"/>
      <c r="D111" s="10"/>
      <c r="E111" s="10"/>
      <c r="F111" s="10"/>
      <c r="G111" s="10"/>
      <c r="H111" s="10"/>
    </row>
    <row r="112" customFormat="false" ht="15" hidden="false" customHeight="false" outlineLevel="0" collapsed="false">
      <c r="A112" s="10"/>
      <c r="B112" s="10"/>
      <c r="C112" s="10"/>
      <c r="D112" s="10"/>
      <c r="E112" s="10"/>
      <c r="F112" s="10"/>
      <c r="G112" s="10"/>
      <c r="H112" s="10"/>
    </row>
    <row r="113" customFormat="false" ht="15" hidden="false" customHeight="false" outlineLevel="0" collapsed="false">
      <c r="A113" s="10"/>
      <c r="B113" s="10"/>
      <c r="C113" s="10"/>
      <c r="D113" s="10"/>
      <c r="E113" s="10"/>
      <c r="F113" s="10"/>
      <c r="G113" s="10"/>
      <c r="H113" s="10"/>
    </row>
    <row r="114" customFormat="false" ht="15" hidden="false" customHeight="false" outlineLevel="0" collapsed="false">
      <c r="A114" s="10"/>
      <c r="B114" s="10"/>
      <c r="C114" s="10"/>
      <c r="D114" s="10"/>
      <c r="E114" s="10"/>
      <c r="F114" s="10"/>
      <c r="G114" s="10"/>
      <c r="H114" s="10"/>
    </row>
    <row r="115" customFormat="false" ht="15" hidden="false" customHeight="false" outlineLevel="0" collapsed="false">
      <c r="A115" s="10"/>
      <c r="B115" s="10"/>
      <c r="C115" s="10"/>
      <c r="D115" s="10"/>
      <c r="E115" s="10"/>
      <c r="F115" s="10"/>
      <c r="G115" s="10"/>
      <c r="H115" s="10"/>
    </row>
    <row r="116" customFormat="false" ht="15" hidden="false" customHeight="false" outlineLevel="0" collapsed="false">
      <c r="A116" s="10"/>
      <c r="B116" s="10"/>
      <c r="C116" s="10"/>
      <c r="D116" s="10"/>
      <c r="E116" s="10"/>
      <c r="F116" s="10"/>
      <c r="G116" s="10"/>
      <c r="H116" s="10"/>
    </row>
    <row r="117" customFormat="false" ht="15" hidden="false" customHeight="false" outlineLevel="0" collapsed="false">
      <c r="A117" s="10"/>
      <c r="B117" s="10"/>
      <c r="C117" s="10"/>
      <c r="D117" s="10"/>
      <c r="E117" s="10"/>
      <c r="F117" s="10"/>
      <c r="G117" s="10"/>
      <c r="H117" s="10"/>
    </row>
    <row r="118" customFormat="false" ht="15" hidden="false" customHeight="false" outlineLevel="0" collapsed="false">
      <c r="A118" s="10"/>
      <c r="B118" s="10"/>
      <c r="C118" s="10"/>
      <c r="D118" s="10"/>
      <c r="E118" s="10"/>
      <c r="F118" s="10"/>
      <c r="G118" s="10"/>
      <c r="H118" s="10"/>
    </row>
    <row r="119" customFormat="false" ht="15" hidden="false" customHeight="false" outlineLevel="0" collapsed="false">
      <c r="A119" s="10"/>
      <c r="B119" s="10"/>
      <c r="C119" s="10"/>
      <c r="D119" s="10"/>
      <c r="E119" s="10"/>
      <c r="F119" s="10"/>
      <c r="G119" s="10"/>
      <c r="H119" s="10"/>
    </row>
    <row r="120" customFormat="false" ht="15" hidden="false" customHeight="false" outlineLevel="0" collapsed="false">
      <c r="A120" s="10"/>
      <c r="B120" s="10"/>
      <c r="C120" s="10"/>
      <c r="D120" s="10"/>
      <c r="E120" s="10"/>
      <c r="F120" s="10"/>
      <c r="G120" s="10"/>
      <c r="H120" s="10"/>
    </row>
    <row r="121" customFormat="false" ht="15" hidden="false" customHeight="false" outlineLevel="0" collapsed="false">
      <c r="A121" s="10"/>
      <c r="B121" s="10"/>
      <c r="C121" s="10"/>
      <c r="D121" s="10"/>
      <c r="E121" s="10"/>
      <c r="F121" s="10"/>
      <c r="G121" s="10"/>
      <c r="H121" s="10"/>
    </row>
    <row r="122" customFormat="false" ht="15" hidden="false" customHeight="false" outlineLevel="0" collapsed="false">
      <c r="A122" s="10"/>
      <c r="B122" s="10"/>
      <c r="C122" s="10"/>
      <c r="D122" s="10"/>
      <c r="E122" s="10"/>
      <c r="F122" s="10"/>
      <c r="G122" s="10"/>
      <c r="H122" s="10"/>
    </row>
    <row r="123" customFormat="false" ht="15" hidden="false" customHeight="false" outlineLevel="0" collapsed="false">
      <c r="A123" s="10"/>
      <c r="B123" s="10"/>
      <c r="C123" s="10"/>
      <c r="D123" s="10"/>
      <c r="E123" s="10"/>
      <c r="F123" s="10"/>
      <c r="G123" s="10"/>
      <c r="H123" s="10"/>
    </row>
    <row r="124" customFormat="false" ht="15" hidden="false" customHeight="false" outlineLevel="0" collapsed="false">
      <c r="A124" s="10"/>
      <c r="B124" s="10"/>
      <c r="C124" s="10"/>
      <c r="D124" s="10"/>
      <c r="E124" s="10"/>
      <c r="F124" s="10"/>
      <c r="G124" s="10"/>
      <c r="H124" s="10"/>
    </row>
    <row r="125" customFormat="false" ht="15" hidden="false" customHeight="false" outlineLevel="0" collapsed="false">
      <c r="A125" s="10"/>
      <c r="B125" s="10"/>
      <c r="C125" s="10"/>
      <c r="D125" s="10"/>
      <c r="E125" s="10"/>
      <c r="F125" s="10"/>
      <c r="G125" s="10"/>
      <c r="H125" s="10"/>
    </row>
    <row r="126" customFormat="false" ht="15" hidden="false" customHeight="false" outlineLevel="0" collapsed="false">
      <c r="A126" s="10"/>
      <c r="B126" s="10"/>
      <c r="C126" s="10"/>
      <c r="D126" s="10"/>
      <c r="E126" s="10"/>
      <c r="F126" s="10"/>
      <c r="G126" s="10"/>
      <c r="H126" s="10"/>
    </row>
    <row r="127" customFormat="false" ht="15" hidden="false" customHeight="false" outlineLevel="0" collapsed="false">
      <c r="A127" s="10"/>
      <c r="B127" s="10"/>
      <c r="C127" s="10"/>
      <c r="D127" s="10"/>
      <c r="E127" s="10"/>
      <c r="F127" s="10"/>
      <c r="G127" s="10"/>
      <c r="H127" s="10"/>
    </row>
    <row r="128" customFormat="false" ht="15" hidden="false" customHeight="false" outlineLevel="0" collapsed="false">
      <c r="A128" s="10"/>
      <c r="B128" s="10"/>
      <c r="C128" s="10"/>
      <c r="D128" s="10"/>
      <c r="E128" s="10"/>
      <c r="F128" s="10"/>
      <c r="G128" s="10"/>
      <c r="H128" s="10"/>
    </row>
    <row r="129" customFormat="false" ht="15" hidden="false" customHeight="false" outlineLevel="0" collapsed="false">
      <c r="A129" s="10"/>
      <c r="B129" s="10"/>
      <c r="C129" s="10"/>
      <c r="D129" s="10"/>
      <c r="E129" s="10"/>
      <c r="F129" s="10"/>
      <c r="G129" s="10"/>
      <c r="H129" s="10"/>
    </row>
    <row r="130" customFormat="false" ht="15" hidden="false" customHeight="false" outlineLevel="0" collapsed="false">
      <c r="A130" s="10"/>
      <c r="B130" s="10"/>
      <c r="C130" s="10"/>
      <c r="D130" s="10"/>
      <c r="E130" s="10"/>
      <c r="F130" s="10"/>
      <c r="G130" s="10"/>
      <c r="H130" s="10"/>
    </row>
    <row r="131" customFormat="false" ht="15" hidden="false" customHeight="false" outlineLevel="0" collapsed="false">
      <c r="A131" s="10"/>
      <c r="B131" s="10"/>
      <c r="C131" s="10"/>
      <c r="D131" s="10"/>
      <c r="E131" s="10"/>
      <c r="F131" s="10"/>
      <c r="G131" s="10"/>
      <c r="H131" s="10"/>
    </row>
    <row r="132" customFormat="false" ht="15" hidden="false" customHeight="false" outlineLevel="0" collapsed="false">
      <c r="A132" s="10"/>
      <c r="B132" s="10"/>
      <c r="C132" s="10"/>
      <c r="D132" s="10"/>
      <c r="E132" s="10"/>
      <c r="F132" s="10"/>
      <c r="G132" s="10"/>
      <c r="H132" s="10"/>
    </row>
    <row r="133" customFormat="false" ht="15" hidden="false" customHeight="false" outlineLevel="0" collapsed="false">
      <c r="A133" s="10"/>
      <c r="B133" s="10"/>
      <c r="C133" s="10"/>
      <c r="D133" s="10"/>
      <c r="E133" s="10"/>
      <c r="F133" s="10"/>
      <c r="G133" s="10"/>
      <c r="H133" s="10"/>
    </row>
    <row r="134" customFormat="false" ht="15" hidden="false" customHeight="false" outlineLevel="0" collapsed="false">
      <c r="A134" s="10"/>
      <c r="B134" s="10"/>
      <c r="C134" s="10"/>
      <c r="D134" s="10"/>
      <c r="E134" s="10"/>
      <c r="F134" s="10"/>
      <c r="G134" s="10"/>
      <c r="H134" s="10"/>
    </row>
    <row r="135" customFormat="false" ht="15" hidden="false" customHeight="false" outlineLevel="0" collapsed="false">
      <c r="A135" s="10"/>
      <c r="B135" s="10"/>
      <c r="C135" s="10"/>
      <c r="D135" s="10"/>
      <c r="E135" s="10"/>
      <c r="F135" s="10"/>
      <c r="G135" s="10"/>
      <c r="H135" s="10"/>
    </row>
    <row r="136" customFormat="false" ht="15" hidden="false" customHeight="false" outlineLevel="0" collapsed="false">
      <c r="A136" s="10"/>
      <c r="B136" s="10"/>
      <c r="C136" s="10"/>
      <c r="D136" s="10"/>
      <c r="E136" s="10"/>
      <c r="F136" s="10"/>
      <c r="G136" s="10"/>
      <c r="H136" s="10"/>
    </row>
    <row r="137" customFormat="false" ht="15" hidden="false" customHeight="false" outlineLevel="0" collapsed="false">
      <c r="A137" s="10"/>
      <c r="B137" s="10"/>
      <c r="C137" s="10"/>
      <c r="D137" s="10"/>
      <c r="E137" s="10"/>
      <c r="F137" s="10"/>
      <c r="G137" s="10"/>
      <c r="H137" s="10"/>
    </row>
    <row r="138" customFormat="false" ht="15" hidden="false" customHeight="false" outlineLevel="0" collapsed="false">
      <c r="A138" s="10"/>
      <c r="B138" s="10"/>
      <c r="C138" s="10"/>
      <c r="D138" s="10"/>
      <c r="E138" s="10"/>
      <c r="F138" s="10"/>
      <c r="G138" s="10"/>
      <c r="H138" s="10"/>
    </row>
    <row r="139" customFormat="false" ht="15" hidden="false" customHeight="false" outlineLevel="0" collapsed="false">
      <c r="A139" s="10"/>
      <c r="B139" s="10"/>
      <c r="C139" s="10"/>
      <c r="D139" s="10"/>
      <c r="E139" s="10"/>
      <c r="F139" s="10"/>
      <c r="G139" s="10"/>
      <c r="H139" s="10"/>
    </row>
    <row r="140" customFormat="false" ht="15" hidden="false" customHeight="false" outlineLevel="0" collapsed="false">
      <c r="A140" s="10"/>
      <c r="B140" s="10"/>
      <c r="C140" s="10"/>
      <c r="D140" s="10"/>
      <c r="E140" s="10"/>
      <c r="F140" s="10"/>
      <c r="G140" s="10"/>
      <c r="H140" s="10"/>
    </row>
    <row r="141" customFormat="false" ht="15" hidden="false" customHeight="false" outlineLevel="0" collapsed="false">
      <c r="A141" s="10"/>
      <c r="B141" s="10"/>
      <c r="C141" s="10"/>
      <c r="D141" s="10"/>
      <c r="E141" s="10"/>
      <c r="F141" s="10"/>
      <c r="G141" s="10"/>
      <c r="H141" s="10"/>
    </row>
    <row r="142" customFormat="false" ht="15" hidden="false" customHeight="false" outlineLevel="0" collapsed="false">
      <c r="A142" s="10"/>
      <c r="B142" s="10"/>
      <c r="C142" s="10"/>
      <c r="D142" s="10"/>
      <c r="E142" s="10"/>
      <c r="F142" s="10"/>
      <c r="G142" s="10"/>
      <c r="H142" s="10"/>
    </row>
    <row r="143" customFormat="false" ht="15" hidden="false" customHeight="false" outlineLevel="0" collapsed="false">
      <c r="A143" s="10"/>
      <c r="B143" s="10"/>
      <c r="C143" s="10"/>
      <c r="D143" s="10"/>
      <c r="E143" s="10"/>
      <c r="F143" s="10"/>
      <c r="G143" s="10"/>
      <c r="H143" s="10"/>
    </row>
  </sheetData>
  <conditionalFormatting sqref="F8:F143">
    <cfRule type="cellIs" priority="2" operator="equal" aboveAverage="0" equalAverage="0" bottom="0" percent="0" rank="0" text="" dxfId="0">
      <formula>"Passed"</formula>
    </cfRule>
    <cfRule type="cellIs" priority="3" operator="equal" aboveAverage="0" equalAverage="0" bottom="0" percent="0" rank="0" text="" dxfId="1">
      <formula>"Failed"</formula>
    </cfRule>
    <cfRule type="cellIs" priority="4" operator="equal" aboveAverage="0" equalAverage="0" bottom="0" percent="0" rank="0" text="" dxfId="2">
      <formula>"Blocked"</formula>
    </cfRule>
    <cfRule type="cellIs" priority="5" operator="equal" aboveAverage="0" equalAverage="0" bottom="0" percent="0" rank="0" text="" dxfId="3">
      <formula>"Skipped"</formula>
    </cfRule>
    <cfRule type="cellIs" priority="6" operator="equal" aboveAverage="0" equalAverage="0" bottom="0" percent="0" rank="0" text="" dxfId="4">
      <formula>"Untested"</formula>
    </cfRule>
  </conditionalFormatting>
  <dataValidations count="1">
    <dataValidation allowBlank="true" error="Chọn một trong: Passed, Failed, Untested, Blocked, Skipped" errorStyle="stop" errorTitle="Giá trị không hợp lệ" operator="between" showDropDown="false" showErrorMessage="true" showInputMessage="false" sqref="F8:F143" type="list">
      <formula1>"Passed,Failed,Untested,Blocked,Skipped"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A11:E11 A1"/>
    </sheetView>
  </sheetViews>
  <sheetFormatPr defaultColWidth="8.68359375" defaultRowHeight="15" customHeight="false" zeroHeight="false" outlineLevelRow="0" outlineLevelCol="0"/>
  <cols>
    <col collapsed="false" customWidth="true" hidden="false" outlineLevel="0" max="1" min="1" style="1" width="3"/>
    <col collapsed="false" customWidth="true" hidden="false" outlineLevel="0" max="2" min="2" style="1" width="8"/>
    <col collapsed="false" customWidth="true" hidden="false" outlineLevel="0" max="3" min="3" style="1" width="34"/>
    <col collapsed="false" customWidth="true" hidden="false" outlineLevel="0" max="8" min="4" style="1" width="12"/>
    <col collapsed="false" customWidth="true" hidden="false" outlineLevel="0" max="9" min="9" style="1" width="18"/>
    <col collapsed="false" customWidth="true" hidden="false" outlineLevel="0" max="10" min="10" style="1" width="16"/>
  </cols>
  <sheetData>
    <row r="2" customFormat="false" ht="19.7" hidden="false" customHeight="false" outlineLevel="0" collapsed="false">
      <c r="B2" s="2" t="s">
        <v>324</v>
      </c>
    </row>
    <row r="4" customFormat="false" ht="15" hidden="false" customHeight="false" outlineLevel="0" collapsed="false">
      <c r="B4" s="3" t="s">
        <v>1</v>
      </c>
      <c r="C4" s="4" t="str">
        <f aca="false">Cover!C4</f>
        <v>Horilla HRMS</v>
      </c>
    </row>
    <row r="5" customFormat="false" ht="15" hidden="false" customHeight="false" outlineLevel="0" collapsed="false">
      <c r="B5" s="3" t="s">
        <v>3</v>
      </c>
      <c r="C5" s="4" t="str">
        <f aca="false">Cover!C5</f>
        <v>HORILLA-PRJ</v>
      </c>
    </row>
    <row r="6" customFormat="false" ht="15" hidden="false" customHeight="false" outlineLevel="0" collapsed="false">
      <c r="B6" s="3" t="s">
        <v>5</v>
      </c>
      <c r="C6" s="4" t="str">
        <f aca="false">C5&amp;"_TestReport_v"&amp;Cover!C10</f>
        <v>HORILLA-PRJ_TestReport_v1.0</v>
      </c>
    </row>
    <row r="7" customFormat="false" ht="15" hidden="false" customHeight="false" outlineLevel="0" collapsed="false">
      <c r="B7" s="3" t="s">
        <v>325</v>
      </c>
      <c r="C7" s="4" t="str">
        <f aca="false">Cover!C7</f>
        <v>Nguyễn Đình Hiếu</v>
      </c>
    </row>
    <row r="8" customFormat="false" ht="15" hidden="false" customHeight="false" outlineLevel="0" collapsed="false">
      <c r="B8" s="3" t="s">
        <v>8</v>
      </c>
      <c r="C8" s="4" t="str">
        <f aca="false">Cover!C8</f>
        <v>Trần Thị Thanh Nga</v>
      </c>
    </row>
    <row r="9" customFormat="false" ht="15" hidden="false" customHeight="false" outlineLevel="0" collapsed="false">
      <c r="B9" s="3" t="s">
        <v>326</v>
      </c>
      <c r="C9" s="5" t="str">
        <f aca="false">IF(COUNT(Projects!G8:G143)=0,"Chưa thực thi",MAX(Projects!G8:G143))</f>
        <v>Chưa thực thi</v>
      </c>
    </row>
    <row r="11" customFormat="false" ht="15" hidden="false" customHeight="false" outlineLevel="0" collapsed="false">
      <c r="B11" s="6" t="s">
        <v>327</v>
      </c>
    </row>
    <row r="12" customFormat="false" ht="15" hidden="false" customHeight="false" outlineLevel="0" collapsed="false">
      <c r="B12" s="7" t="s">
        <v>14</v>
      </c>
      <c r="C12" s="7" t="s">
        <v>328</v>
      </c>
      <c r="D12" s="7" t="s">
        <v>165</v>
      </c>
      <c r="E12" s="7" t="s">
        <v>166</v>
      </c>
      <c r="F12" s="7" t="s">
        <v>167</v>
      </c>
      <c r="G12" s="7" t="s">
        <v>168</v>
      </c>
      <c r="H12" s="7" t="s">
        <v>169</v>
      </c>
      <c r="I12" s="7" t="s">
        <v>329</v>
      </c>
      <c r="J12" s="7" t="s">
        <v>330</v>
      </c>
    </row>
    <row r="13" customFormat="false" ht="15" hidden="false" customHeight="false" outlineLevel="0" collapsed="false">
      <c r="B13" s="20" t="n">
        <v>1</v>
      </c>
      <c r="C13" s="21" t="str">
        <f aca="false">Projects!B2</f>
        <v>Project &gt; Projects (Quản lý danh sách dự án)</v>
      </c>
      <c r="D13" s="20" t="n">
        <f aca="false">Projects!A5</f>
        <v>0</v>
      </c>
      <c r="E13" s="20" t="n">
        <f aca="false">Projects!B5</f>
        <v>0</v>
      </c>
      <c r="F13" s="20" t="n">
        <f aca="false">Projects!C5</f>
        <v>28</v>
      </c>
      <c r="G13" s="20" t="n">
        <f aca="false">Projects!D5</f>
        <v>0</v>
      </c>
      <c r="H13" s="20" t="n">
        <f aca="false">Projects!E5</f>
        <v>0</v>
      </c>
      <c r="I13" s="20" t="n">
        <f aca="false">SUM(D13:H13)</f>
        <v>28</v>
      </c>
      <c r="J13" s="22" t="n">
        <f aca="false">IF(I13=0,0,D13/I13*100)</f>
        <v>0</v>
      </c>
    </row>
    <row r="14" customFormat="false" ht="15" hidden="false" customHeight="false" outlineLevel="0" collapsed="false">
      <c r="B14" s="20"/>
      <c r="C14" s="21"/>
      <c r="D14" s="20"/>
      <c r="E14" s="20"/>
      <c r="F14" s="20"/>
      <c r="G14" s="20"/>
      <c r="H14" s="20"/>
      <c r="I14" s="20" t="str">
        <f aca="false">IF(C14="","",SUM(D14:H14))</f>
        <v/>
      </c>
      <c r="J14" s="22" t="str">
        <f aca="false">IF(OR(C14="",I14=0),"",D14/I14*100)</f>
        <v/>
      </c>
    </row>
    <row r="15" customFormat="false" ht="15" hidden="false" customHeight="false" outlineLevel="0" collapsed="false">
      <c r="B15" s="20"/>
      <c r="C15" s="21"/>
      <c r="D15" s="20"/>
      <c r="E15" s="20"/>
      <c r="F15" s="20"/>
      <c r="G15" s="20"/>
      <c r="H15" s="20"/>
      <c r="I15" s="20" t="str">
        <f aca="false">IF(C15="","",SUM(D15:H15))</f>
        <v/>
      </c>
      <c r="J15" s="22" t="str">
        <f aca="false">IF(OR(C15="",I15=0),"",D15/I15*100)</f>
        <v/>
      </c>
    </row>
    <row r="16" customFormat="false" ht="15" hidden="false" customHeight="false" outlineLevel="0" collapsed="false">
      <c r="B16" s="15"/>
      <c r="C16" s="23" t="s">
        <v>331</v>
      </c>
      <c r="D16" s="15" t="n">
        <f aca="false">SUM(D13:D15)</f>
        <v>0</v>
      </c>
      <c r="E16" s="15" t="n">
        <f aca="false">SUM(E13:E15)</f>
        <v>0</v>
      </c>
      <c r="F16" s="15" t="n">
        <f aca="false">SUM(F13:F15)</f>
        <v>28</v>
      </c>
      <c r="G16" s="15" t="n">
        <f aca="false">SUM(G13:G15)</f>
        <v>0</v>
      </c>
      <c r="H16" s="15" t="n">
        <f aca="false">SUM(H13:H15)</f>
        <v>0</v>
      </c>
      <c r="I16" s="15" t="n">
        <f aca="false">SUM(I13:I15)</f>
        <v>28</v>
      </c>
      <c r="J16" s="24" t="n">
        <f aca="false">IF(I16=0,0,D16/I16*100)</f>
        <v>0</v>
      </c>
    </row>
    <row r="19" customFormat="false" ht="15" hidden="false" customHeight="false" outlineLevel="0" collapsed="false">
      <c r="B19" s="6" t="s">
        <v>332</v>
      </c>
    </row>
    <row r="20" customFormat="false" ht="15" hidden="false" customHeight="false" outlineLevel="0" collapsed="false">
      <c r="B20" s="3" t="s">
        <v>333</v>
      </c>
      <c r="C20" s="25" t="n">
        <f aca="false">IF((I16-G16-H16)=0,0,(D16+E16)/(I16-G16-H16))</f>
        <v>0</v>
      </c>
    </row>
    <row r="21" customFormat="false" ht="15" hidden="false" customHeight="false" outlineLevel="0" collapsed="false">
      <c r="B21" s="3" t="s">
        <v>334</v>
      </c>
      <c r="C21" s="25" t="n">
        <f aca="false">IF((D16+E16)=0,0,D16/(D16+E16))</f>
        <v>0</v>
      </c>
    </row>
    <row r="22" customFormat="false" ht="15" hidden="false" customHeight="false" outlineLevel="0" collapsed="false">
      <c r="B22" s="3" t="s">
        <v>335</v>
      </c>
      <c r="C22" s="26" t="str">
        <f aca="false">IF(I16=Projects!F5,"OK","Lệch số liệu")</f>
        <v>OK</v>
      </c>
    </row>
    <row r="24" customFormat="false" ht="15" hidden="false" customHeight="false" outlineLevel="0" collapsed="false">
      <c r="B24" s="27" t="s">
        <v>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142</TotalTime>
  <Application>LibreOffice/26.2.6.3$Linux_X86_64 LibreOffice_project/6673c99d96549ce65101be79fa29dd8a8e58eb52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2026-10-24T03:25:59Z</dcterms:created>
  <dc:creator>openpyxl</dc:creator>
  <dc:description/>
  <dc:language>en-US</dc:language>
  <cp:lastModifiedBy/>
  <dcterms:modified xsi:type="dcterms:W3CDTF">2026-10-30T23:51:18Z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